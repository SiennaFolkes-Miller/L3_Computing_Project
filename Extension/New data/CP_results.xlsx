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folk\L3PPP\Extension\New data\"/>
    </mc:Choice>
  </mc:AlternateContent>
  <xr:revisionPtr revIDLastSave="0" documentId="8_{30E5197E-7906-4B0B-A68E-6420E2794CD3}" xr6:coauthVersionLast="47" xr6:coauthVersionMax="47" xr10:uidLastSave="{00000000-0000-0000-0000-000000000000}"/>
  <bookViews>
    <workbookView xWindow="-108" yWindow="-108" windowWidth="23256" windowHeight="12456" activeTab="4" xr2:uid="{233CAA3C-2DF9-4868-852D-9F2BF2D68E0B}"/>
  </bookViews>
  <sheets>
    <sheet name="1D" sheetId="1" r:id="rId1"/>
    <sheet name="2D" sheetId="5" r:id="rId2"/>
    <sheet name="3D" sheetId="4" r:id="rId3"/>
    <sheet name="Various zs" sheetId="3" r:id="rId4"/>
    <sheet name="chi2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3" l="1"/>
  <c r="T7" i="3"/>
  <c r="T6" i="3"/>
  <c r="T5" i="3"/>
  <c r="T4" i="3"/>
  <c r="T3" i="3"/>
</calcChain>
</file>

<file path=xl/sharedStrings.xml><?xml version="1.0" encoding="utf-8"?>
<sst xmlns="http://schemas.openxmlformats.org/spreadsheetml/2006/main" count="81" uniqueCount="36">
  <si>
    <t>Flat_wide</t>
  </si>
  <si>
    <t>Omega Lambda</t>
  </si>
  <si>
    <t>H0</t>
  </si>
  <si>
    <t>Omega k</t>
  </si>
  <si>
    <t>MAF</t>
  </si>
  <si>
    <t>1D var</t>
  </si>
  <si>
    <t>Tau</t>
  </si>
  <si>
    <t>Flat_narrow</t>
  </si>
  <si>
    <t>CMB_gaussian</t>
  </si>
  <si>
    <t>Covariance matrix</t>
  </si>
  <si>
    <t>Eigenvalues</t>
  </si>
  <si>
    <t>C number</t>
  </si>
  <si>
    <t>zlt0.10</t>
  </si>
  <si>
    <t>zlt0.36</t>
  </si>
  <si>
    <t>zlt0.63</t>
  </si>
  <si>
    <t>zlt0.89</t>
  </si>
  <si>
    <t>zlt1.15</t>
  </si>
  <si>
    <t>zlt1.41</t>
  </si>
  <si>
    <t>N</t>
  </si>
  <si>
    <t>Tau average</t>
  </si>
  <si>
    <t>CMB_directional</t>
  </si>
  <si>
    <t>Chi2</t>
  </si>
  <si>
    <t>1D</t>
  </si>
  <si>
    <t>2D</t>
  </si>
  <si>
    <t>3D</t>
  </si>
  <si>
    <t>chi red</t>
  </si>
  <si>
    <t xml:space="preserve"> 50 walkers, 2000 steps</t>
  </si>
  <si>
    <t>75 walkers, 3000 steps</t>
  </si>
  <si>
    <t>100 walkers, 5000 steps</t>
  </si>
  <si>
    <t>3D, 50 walkers, 3000 steps, flat_wide</t>
  </si>
  <si>
    <t>OL minus error</t>
  </si>
  <si>
    <t>OL plus error</t>
  </si>
  <si>
    <t>H0 minus error</t>
  </si>
  <si>
    <t>H0 plus error</t>
  </si>
  <si>
    <t>Ok minus error</t>
  </si>
  <si>
    <t>Ok plus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</si>
</sst>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7D6F-E290-41F4-AE2E-950EF501CBD7}">
  <dimension ref="B2:AE35"/>
  <sheetViews>
    <sheetView zoomScale="66" workbookViewId="0">
      <selection activeCell="C2" sqref="C2:E2"/>
    </sheetView>
  </sheetViews>
  <sheetFormatPr defaultRowHeight="14.4" x14ac:dyDescent="0.3"/>
  <cols>
    <col min="2" max="2" width="19.109375" customWidth="1"/>
    <col min="3" max="3" width="14.109375" customWidth="1"/>
    <col min="4" max="4" width="10.33203125" customWidth="1"/>
    <col min="5" max="5" width="10.88671875" customWidth="1"/>
    <col min="7" max="7" width="13.21875" customWidth="1"/>
    <col min="8" max="8" width="9.21875" customWidth="1"/>
    <col min="9" max="9" width="10.5546875" customWidth="1"/>
    <col min="11" max="11" width="10" customWidth="1"/>
    <col min="12" max="12" width="10.21875" customWidth="1"/>
    <col min="13" max="13" width="10.44140625" customWidth="1"/>
    <col min="16" max="16" width="9.33203125" customWidth="1"/>
    <col min="20" max="20" width="11.109375" customWidth="1"/>
  </cols>
  <sheetData>
    <row r="2" spans="2:20" x14ac:dyDescent="0.3">
      <c r="B2" t="s">
        <v>26</v>
      </c>
      <c r="C2" t="s">
        <v>1</v>
      </c>
      <c r="D2" t="s">
        <v>30</v>
      </c>
      <c r="E2" t="s">
        <v>31</v>
      </c>
      <c r="G2" t="s">
        <v>4</v>
      </c>
      <c r="H2" t="s">
        <v>5</v>
      </c>
      <c r="I2" t="s">
        <v>6</v>
      </c>
    </row>
    <row r="3" spans="2:20" x14ac:dyDescent="0.3">
      <c r="B3" t="s">
        <v>0</v>
      </c>
      <c r="C3">
        <v>0.72750000000000004</v>
      </c>
      <c r="D3">
        <v>-1.291E-2</v>
      </c>
      <c r="E3">
        <v>1.247E-2</v>
      </c>
      <c r="G3">
        <v>0.80500000000000005</v>
      </c>
      <c r="H3">
        <v>1.6352000000000001E-4</v>
      </c>
      <c r="I3">
        <v>25.245867629999999</v>
      </c>
    </row>
    <row r="4" spans="2:20" x14ac:dyDescent="0.3">
      <c r="B4" t="s">
        <v>7</v>
      </c>
      <c r="C4">
        <v>0.72740000000000005</v>
      </c>
      <c r="D4">
        <v>-1.257E-2</v>
      </c>
      <c r="E4">
        <v>1.274E-2</v>
      </c>
      <c r="G4">
        <v>0.80500000000000005</v>
      </c>
      <c r="H4">
        <v>1.6346000000000001E-4</v>
      </c>
      <c r="I4">
        <v>21.822081399999998</v>
      </c>
    </row>
    <row r="5" spans="2:20" x14ac:dyDescent="0.3">
      <c r="B5" t="s">
        <v>8</v>
      </c>
      <c r="C5">
        <v>0.72619999999999996</v>
      </c>
      <c r="D5">
        <v>-1.268E-2</v>
      </c>
      <c r="E5">
        <v>1.244E-2</v>
      </c>
      <c r="G5">
        <v>0.80800000000000005</v>
      </c>
      <c r="H5">
        <v>1.5924999999999999E-4</v>
      </c>
      <c r="I5">
        <v>22.494851430000001</v>
      </c>
    </row>
    <row r="6" spans="2:20" x14ac:dyDescent="0.3">
      <c r="B6" t="s">
        <v>20</v>
      </c>
      <c r="C6">
        <v>0.69530000000000003</v>
      </c>
      <c r="D6">
        <v>-6.2310000000000004E-3</v>
      </c>
      <c r="E6">
        <v>6.398E-3</v>
      </c>
      <c r="G6">
        <v>0.80500000000000005</v>
      </c>
      <c r="H6" s="2">
        <v>4.0077999999999998E-5</v>
      </c>
      <c r="I6">
        <v>24.976747830000001</v>
      </c>
    </row>
    <row r="12" spans="2:20" x14ac:dyDescent="0.3">
      <c r="L12" s="4"/>
      <c r="M12" s="4"/>
      <c r="N12" s="4"/>
      <c r="O12" s="4"/>
      <c r="P12" s="4"/>
      <c r="Q12" s="4"/>
      <c r="S12" s="4"/>
      <c r="T12" s="4"/>
    </row>
    <row r="13" spans="2:20" x14ac:dyDescent="0.3">
      <c r="R13" s="2"/>
    </row>
    <row r="14" spans="2:20" x14ac:dyDescent="0.3">
      <c r="R14" s="2"/>
    </row>
    <row r="15" spans="2:20" x14ac:dyDescent="0.3">
      <c r="R15" s="2"/>
    </row>
    <row r="16" spans="2:20" x14ac:dyDescent="0.3">
      <c r="L16" s="2"/>
      <c r="M16" s="2"/>
      <c r="N16" s="2"/>
      <c r="O16" s="2"/>
      <c r="P16" s="2"/>
      <c r="Q16" s="2"/>
      <c r="R16" s="2"/>
    </row>
    <row r="20" spans="16:31" x14ac:dyDescent="0.3"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C20" s="4"/>
      <c r="AD20" s="4"/>
      <c r="AE20" s="4"/>
    </row>
    <row r="21" spans="16:31" x14ac:dyDescent="0.3">
      <c r="T21" s="2"/>
      <c r="Y21" s="2"/>
      <c r="Z21" s="2"/>
      <c r="AA21" s="2"/>
      <c r="AB21" s="2"/>
    </row>
    <row r="22" spans="16:31" x14ac:dyDescent="0.3">
      <c r="R22" s="2"/>
      <c r="AB22" s="2"/>
    </row>
    <row r="23" spans="16:31" x14ac:dyDescent="0.3">
      <c r="AB23" s="2"/>
    </row>
    <row r="24" spans="16:31" x14ac:dyDescent="0.3"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7" spans="16:31" x14ac:dyDescent="0.3">
      <c r="T27" s="2"/>
    </row>
    <row r="28" spans="16:31" x14ac:dyDescent="0.3">
      <c r="P28" s="4"/>
      <c r="Q28" s="4"/>
      <c r="R28" s="4"/>
    </row>
    <row r="30" spans="16:31" x14ac:dyDescent="0.3">
      <c r="S30" s="2"/>
    </row>
    <row r="31" spans="16:31" x14ac:dyDescent="0.3">
      <c r="S31" s="2"/>
    </row>
    <row r="32" spans="16:31" x14ac:dyDescent="0.3">
      <c r="P32" s="2"/>
      <c r="Q32" s="2"/>
      <c r="R32" s="2"/>
      <c r="S32" s="2"/>
    </row>
    <row r="33" spans="16:19" x14ac:dyDescent="0.3">
      <c r="P33" s="2"/>
      <c r="Q33" s="2"/>
      <c r="R33" s="2"/>
      <c r="S33" s="2"/>
    </row>
    <row r="34" spans="16:19" x14ac:dyDescent="0.3">
      <c r="P34" s="2"/>
      <c r="Q34" s="2"/>
      <c r="R34" s="2"/>
      <c r="S34" s="2"/>
    </row>
    <row r="35" spans="16:19" x14ac:dyDescent="0.3">
      <c r="S35" s="2"/>
    </row>
  </sheetData>
  <mergeCells count="7">
    <mergeCell ref="P28:R28"/>
    <mergeCell ref="P20:X20"/>
    <mergeCell ref="Y20:AA20"/>
    <mergeCell ref="AC20:AE20"/>
    <mergeCell ref="L12:O12"/>
    <mergeCell ref="P12:Q12"/>
    <mergeCell ref="S12:T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34AB-8F4C-4383-860A-8BC65998539D}">
  <dimension ref="B2:AB35"/>
  <sheetViews>
    <sheetView zoomScale="84" workbookViewId="0">
      <selection activeCell="C2" sqref="C2:I2"/>
    </sheetView>
  </sheetViews>
  <sheetFormatPr defaultRowHeight="14.4" x14ac:dyDescent="0.3"/>
  <cols>
    <col min="2" max="2" width="19.109375" customWidth="1"/>
    <col min="3" max="3" width="14.109375" customWidth="1"/>
    <col min="4" max="4" width="10.33203125" customWidth="1"/>
    <col min="5" max="5" width="10.88671875" customWidth="1"/>
    <col min="7" max="7" width="13.21875" customWidth="1"/>
    <col min="8" max="8" width="9.21875" customWidth="1"/>
    <col min="9" max="9" width="10.5546875" customWidth="1"/>
    <col min="11" max="11" width="10" customWidth="1"/>
    <col min="12" max="12" width="10.21875" customWidth="1"/>
    <col min="13" max="13" width="10.44140625" customWidth="1"/>
    <col min="16" max="16" width="9.33203125" customWidth="1"/>
    <col min="20" max="20" width="11.109375" customWidth="1"/>
  </cols>
  <sheetData>
    <row r="2" spans="2:20" x14ac:dyDescent="0.3">
      <c r="B2" t="s">
        <v>27</v>
      </c>
      <c r="C2" t="s">
        <v>1</v>
      </c>
      <c r="D2" t="s">
        <v>30</v>
      </c>
      <c r="E2" t="s">
        <v>31</v>
      </c>
      <c r="G2" t="s">
        <v>2</v>
      </c>
      <c r="H2" t="s">
        <v>32</v>
      </c>
      <c r="I2" t="s">
        <v>33</v>
      </c>
      <c r="K2" t="s">
        <v>4</v>
      </c>
      <c r="L2" s="1" t="s">
        <v>9</v>
      </c>
      <c r="M2" s="1"/>
      <c r="N2" s="1"/>
      <c r="O2" s="1"/>
      <c r="P2" s="1" t="s">
        <v>10</v>
      </c>
      <c r="Q2" s="1"/>
      <c r="R2" t="s">
        <v>11</v>
      </c>
      <c r="S2" s="1" t="s">
        <v>6</v>
      </c>
      <c r="T2" s="1"/>
    </row>
    <row r="3" spans="2:20" x14ac:dyDescent="0.3">
      <c r="B3" t="s">
        <v>0</v>
      </c>
      <c r="C3">
        <v>0.70760000000000001</v>
      </c>
      <c r="D3">
        <v>-1.8769999999999998E-2</v>
      </c>
      <c r="E3">
        <v>1.8110000000000001E-2</v>
      </c>
      <c r="G3">
        <v>69.53</v>
      </c>
      <c r="H3">
        <v>-0.30180000000000001</v>
      </c>
      <c r="I3">
        <v>0.29909999999999998</v>
      </c>
      <c r="K3">
        <v>0.71499999999999997</v>
      </c>
      <c r="L3">
        <v>3.4660000000000002E-4</v>
      </c>
      <c r="M3">
        <v>4.0152800000000004E-3</v>
      </c>
      <c r="N3">
        <v>4.0152800000000004E-3</v>
      </c>
      <c r="O3">
        <v>9.2495129999999995E-2</v>
      </c>
      <c r="P3">
        <v>1.7197E-4</v>
      </c>
      <c r="Q3">
        <v>9.2669760000000004E-2</v>
      </c>
      <c r="R3" s="2">
        <v>540</v>
      </c>
      <c r="S3">
        <v>31.049476720000001</v>
      </c>
      <c r="T3">
        <v>30.390334549999999</v>
      </c>
    </row>
    <row r="4" spans="2:20" x14ac:dyDescent="0.3">
      <c r="B4" t="s">
        <v>7</v>
      </c>
      <c r="C4">
        <v>0.70789999999999997</v>
      </c>
      <c r="D4">
        <v>-1.8960000000000001E-2</v>
      </c>
      <c r="E4">
        <v>1.8319999999999999E-2</v>
      </c>
      <c r="G4">
        <v>69.53</v>
      </c>
      <c r="H4">
        <v>-0.30170000000000002</v>
      </c>
      <c r="I4">
        <v>0.3034</v>
      </c>
      <c r="K4">
        <v>0.71499999999999997</v>
      </c>
      <c r="L4">
        <v>3.548E-4</v>
      </c>
      <c r="M4">
        <v>4.11642E-3</v>
      </c>
      <c r="N4">
        <v>4.11642E-3</v>
      </c>
      <c r="O4">
        <v>9.2969410000000002E-2</v>
      </c>
      <c r="P4">
        <v>1.7220000000000001E-4</v>
      </c>
      <c r="Q4">
        <v>9.3152009999999993E-2</v>
      </c>
      <c r="R4" s="2">
        <v>540</v>
      </c>
      <c r="S4">
        <v>30.95488924</v>
      </c>
      <c r="T4">
        <v>30.07230199</v>
      </c>
    </row>
    <row r="5" spans="2:20" x14ac:dyDescent="0.3">
      <c r="B5" t="s">
        <v>8</v>
      </c>
      <c r="C5">
        <v>0.70589999999999997</v>
      </c>
      <c r="D5">
        <v>-1.8540000000000001E-2</v>
      </c>
      <c r="E5">
        <v>1.7670000000000002E-2</v>
      </c>
      <c r="G5">
        <v>69.510000000000005</v>
      </c>
      <c r="H5">
        <v>-0.29980000000000001</v>
      </c>
      <c r="I5">
        <v>0.30070000000000002</v>
      </c>
      <c r="K5">
        <v>0.71299999999999997</v>
      </c>
      <c r="L5">
        <v>3.3053999999999999E-4</v>
      </c>
      <c r="M5">
        <v>3.8278600000000002E-3</v>
      </c>
      <c r="N5">
        <v>3.8278600000000002E-3</v>
      </c>
      <c r="O5">
        <v>9.0640689999999996E-2</v>
      </c>
      <c r="P5">
        <v>1.6857999999999999E-4</v>
      </c>
      <c r="Q5">
        <v>9.0802640000000004E-2</v>
      </c>
      <c r="R5" s="2">
        <v>540</v>
      </c>
      <c r="S5">
        <v>29.17819596</v>
      </c>
      <c r="T5">
        <v>29.46733618</v>
      </c>
    </row>
    <row r="6" spans="2:20" x14ac:dyDescent="0.3">
      <c r="B6" t="s">
        <v>20</v>
      </c>
      <c r="C6">
        <v>0.68810000000000004</v>
      </c>
      <c r="D6">
        <v>-6.7099999999999998E-3</v>
      </c>
      <c r="E6">
        <v>6.7219999999999997E-3</v>
      </c>
      <c r="G6">
        <v>69.3</v>
      </c>
      <c r="H6">
        <v>-0.2253</v>
      </c>
      <c r="I6">
        <v>0.2238</v>
      </c>
      <c r="K6">
        <v>0.71299999999999997</v>
      </c>
      <c r="L6" s="2">
        <v>4.5239470200000001E-5</v>
      </c>
      <c r="M6" s="2">
        <v>5.2356299800000001E-4</v>
      </c>
      <c r="N6" s="2">
        <v>5.2356299800000001E-4</v>
      </c>
      <c r="O6" s="2">
        <v>5.1550093200000001E-2</v>
      </c>
      <c r="P6" s="2">
        <v>3.9917837899999998E-5</v>
      </c>
      <c r="Q6" s="2">
        <v>5.1555414799999998E-2</v>
      </c>
      <c r="R6" s="2">
        <v>1300</v>
      </c>
      <c r="S6">
        <v>29.302551359999999</v>
      </c>
      <c r="T6">
        <v>29.72502296</v>
      </c>
    </row>
    <row r="11" spans="2:20" x14ac:dyDescent="0.3">
      <c r="T11" s="2"/>
    </row>
    <row r="12" spans="2:20" x14ac:dyDescent="0.3">
      <c r="R12" s="2"/>
    </row>
    <row r="14" spans="2:20" x14ac:dyDescent="0.3">
      <c r="P14" s="2"/>
      <c r="Q14" s="2"/>
      <c r="R14" s="2"/>
      <c r="S14" s="2"/>
      <c r="T14" s="2"/>
    </row>
    <row r="17" spans="16:28" x14ac:dyDescent="0.3">
      <c r="T17" s="2"/>
    </row>
    <row r="21" spans="16:28" x14ac:dyDescent="0.3">
      <c r="T21" s="2"/>
      <c r="Y21" s="2"/>
      <c r="Z21" s="2"/>
      <c r="AA21" s="2"/>
      <c r="AB21" s="2"/>
    </row>
    <row r="22" spans="16:28" x14ac:dyDescent="0.3">
      <c r="R22" s="2"/>
      <c r="AB22" s="2"/>
    </row>
    <row r="23" spans="16:28" x14ac:dyDescent="0.3">
      <c r="AB23" s="2"/>
    </row>
    <row r="24" spans="16:28" x14ac:dyDescent="0.3"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7" spans="16:28" x14ac:dyDescent="0.3">
      <c r="T27" s="2"/>
    </row>
    <row r="30" spans="16:28" x14ac:dyDescent="0.3">
      <c r="S30" s="2"/>
    </row>
    <row r="31" spans="16:28" x14ac:dyDescent="0.3">
      <c r="S31" s="2"/>
    </row>
    <row r="32" spans="16:28" x14ac:dyDescent="0.3">
      <c r="P32" s="2"/>
      <c r="Q32" s="2"/>
      <c r="R32" s="2"/>
      <c r="S32" s="2"/>
    </row>
    <row r="33" spans="16:19" x14ac:dyDescent="0.3">
      <c r="P33" s="2"/>
      <c r="Q33" s="2"/>
      <c r="R33" s="2"/>
      <c r="S33" s="2"/>
    </row>
    <row r="34" spans="16:19" x14ac:dyDescent="0.3">
      <c r="P34" s="2"/>
      <c r="Q34" s="2"/>
      <c r="R34" s="2"/>
      <c r="S34" s="2"/>
    </row>
    <row r="35" spans="16:19" x14ac:dyDescent="0.3">
      <c r="S3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EB6D-5F7D-4811-9F3C-D2A144A8AD4F}">
  <dimension ref="B2:AE35"/>
  <sheetViews>
    <sheetView zoomScale="84" workbookViewId="0">
      <selection activeCell="C2" sqref="C2:M2"/>
    </sheetView>
  </sheetViews>
  <sheetFormatPr defaultRowHeight="14.4" x14ac:dyDescent="0.3"/>
  <cols>
    <col min="2" max="2" width="19.109375" customWidth="1"/>
    <col min="3" max="3" width="14.109375" customWidth="1"/>
    <col min="4" max="4" width="10.33203125" customWidth="1"/>
    <col min="5" max="5" width="10.88671875" customWidth="1"/>
    <col min="7" max="7" width="13.21875" customWidth="1"/>
    <col min="8" max="8" width="9.21875" customWidth="1"/>
    <col min="9" max="9" width="10.5546875" customWidth="1"/>
    <col min="11" max="11" width="10" customWidth="1"/>
    <col min="12" max="12" width="10.21875" customWidth="1"/>
    <col min="13" max="13" width="10.44140625" customWidth="1"/>
    <col min="16" max="16" width="9.33203125" customWidth="1"/>
    <col min="20" max="20" width="11.109375" customWidth="1"/>
  </cols>
  <sheetData>
    <row r="2" spans="2:31" x14ac:dyDescent="0.3">
      <c r="B2" t="s">
        <v>28</v>
      </c>
      <c r="C2" t="s">
        <v>1</v>
      </c>
      <c r="D2" t="s">
        <v>30</v>
      </c>
      <c r="E2" t="s">
        <v>31</v>
      </c>
      <c r="G2" t="s">
        <v>2</v>
      </c>
      <c r="H2" t="s">
        <v>32</v>
      </c>
      <c r="I2" t="s">
        <v>33</v>
      </c>
      <c r="K2" t="s">
        <v>3</v>
      </c>
      <c r="L2" t="s">
        <v>34</v>
      </c>
      <c r="M2" t="s">
        <v>35</v>
      </c>
      <c r="O2" t="s">
        <v>4</v>
      </c>
      <c r="P2" s="1" t="s">
        <v>9</v>
      </c>
      <c r="Q2" s="1"/>
      <c r="R2" s="1"/>
      <c r="S2" s="1"/>
      <c r="T2" s="1"/>
      <c r="U2" s="1"/>
      <c r="V2" s="1"/>
      <c r="W2" s="1"/>
      <c r="X2" s="1"/>
      <c r="Y2" s="1" t="s">
        <v>10</v>
      </c>
      <c r="Z2" s="1"/>
      <c r="AA2" s="1"/>
      <c r="AB2" t="s">
        <v>11</v>
      </c>
      <c r="AC2" s="1" t="s">
        <v>6</v>
      </c>
      <c r="AD2" s="1"/>
      <c r="AE2" s="1"/>
    </row>
    <row r="3" spans="2:31" x14ac:dyDescent="0.3">
      <c r="B3" t="s">
        <v>0</v>
      </c>
      <c r="C3">
        <v>0.69699999999999995</v>
      </c>
      <c r="D3">
        <v>-0.1129</v>
      </c>
      <c r="E3">
        <v>0.1087</v>
      </c>
      <c r="G3">
        <v>69.510000000000005</v>
      </c>
      <c r="H3">
        <v>-0.37959999999999999</v>
      </c>
      <c r="I3">
        <v>0.37230000000000002</v>
      </c>
      <c r="K3">
        <v>1.6629999999999999E-2</v>
      </c>
      <c r="L3">
        <v>-0.1716</v>
      </c>
      <c r="M3">
        <v>0.17879999999999999</v>
      </c>
      <c r="O3">
        <v>0.64600000000000002</v>
      </c>
      <c r="P3">
        <v>1.2429620000000001E-2</v>
      </c>
      <c r="Q3">
        <v>-1.9384160000000001E-2</v>
      </c>
      <c r="R3">
        <v>2.8782789999999999E-2</v>
      </c>
      <c r="S3">
        <v>-1.9384160000000001E-2</v>
      </c>
      <c r="T3" s="2">
        <v>3.1110570000000001E-2</v>
      </c>
      <c r="U3">
        <v>-3.9696259999999997E-2</v>
      </c>
      <c r="V3">
        <v>2.8782789999999999E-2</v>
      </c>
      <c r="W3">
        <v>-3.9696259999999997E-2</v>
      </c>
      <c r="X3">
        <v>0.14395826</v>
      </c>
      <c r="Y3" s="2">
        <v>1.3282875799999999E-4</v>
      </c>
      <c r="Z3" s="2">
        <v>2.34924868E-2</v>
      </c>
      <c r="AA3" s="2">
        <v>0.163873134</v>
      </c>
      <c r="AB3" s="2">
        <v>1200</v>
      </c>
      <c r="AC3">
        <v>33.818032819999999</v>
      </c>
      <c r="AD3">
        <v>34.153594140000003</v>
      </c>
      <c r="AE3">
        <v>34.491021629999999</v>
      </c>
    </row>
    <row r="4" spans="2:31" x14ac:dyDescent="0.3">
      <c r="B4" t="s">
        <v>7</v>
      </c>
      <c r="C4">
        <v>0.70069999999999999</v>
      </c>
      <c r="D4">
        <v>-6.3E-2</v>
      </c>
      <c r="E4">
        <v>6.2740000000000004E-2</v>
      </c>
      <c r="G4">
        <v>69.52</v>
      </c>
      <c r="H4">
        <v>-0.29930000000000001</v>
      </c>
      <c r="I4">
        <v>0.30509999999999998</v>
      </c>
      <c r="K4">
        <v>1.141E-2</v>
      </c>
      <c r="L4">
        <v>-0.10009999999999999</v>
      </c>
      <c r="M4">
        <v>9.9489999999999995E-2</v>
      </c>
      <c r="O4">
        <v>0.61299999999999999</v>
      </c>
      <c r="P4">
        <v>2.9622400000000001E-3</v>
      </c>
      <c r="Q4">
        <v>-4.5955600000000003E-3</v>
      </c>
      <c r="R4" s="2">
        <v>7.0791099999999996E-3</v>
      </c>
      <c r="S4">
        <v>-4.5955600000000003E-3</v>
      </c>
      <c r="T4">
        <v>7.9922699999999992E-3</v>
      </c>
      <c r="U4">
        <v>-5.8902399999999997E-3</v>
      </c>
      <c r="V4">
        <v>7.0791099999999996E-3</v>
      </c>
      <c r="W4">
        <v>-5.8902399999999997E-3</v>
      </c>
      <c r="X4">
        <v>9.2510330000000002E-2</v>
      </c>
      <c r="Y4">
        <v>1.2679E-4</v>
      </c>
      <c r="Z4">
        <v>9.8164600000000008E-3</v>
      </c>
      <c r="AA4">
        <v>9.3521599999999996E-2</v>
      </c>
      <c r="AB4" s="2">
        <v>740</v>
      </c>
      <c r="AC4">
        <v>43.82453254</v>
      </c>
      <c r="AD4">
        <v>43.124930159999998</v>
      </c>
      <c r="AE4">
        <v>39.728941050000003</v>
      </c>
    </row>
    <row r="5" spans="2:31" x14ac:dyDescent="0.3">
      <c r="B5" t="s">
        <v>8</v>
      </c>
      <c r="C5">
        <v>0.70489999999999997</v>
      </c>
      <c r="D5">
        <v>-2.103E-2</v>
      </c>
      <c r="E5">
        <v>2.0930000000000001E-2</v>
      </c>
      <c r="G5">
        <v>69.510000000000005</v>
      </c>
      <c r="H5">
        <v>-0.2989</v>
      </c>
      <c r="I5">
        <v>0.3014</v>
      </c>
      <c r="K5">
        <v>1.9170000000000001E-3</v>
      </c>
      <c r="L5">
        <v>-1.839E-2</v>
      </c>
      <c r="M5">
        <v>1.8489999999999999E-2</v>
      </c>
      <c r="O5">
        <v>0.64600000000000002</v>
      </c>
      <c r="P5">
        <v>4.482E-4</v>
      </c>
      <c r="Q5">
        <v>-2.0141000000000001E-4</v>
      </c>
      <c r="R5">
        <v>3.97635E-3</v>
      </c>
      <c r="S5">
        <v>-2.0141000000000001E-4</v>
      </c>
      <c r="T5">
        <v>3.4527000000000001E-4</v>
      </c>
      <c r="U5">
        <v>-2.8289E-4</v>
      </c>
      <c r="V5">
        <v>3.97635E-3</v>
      </c>
      <c r="W5">
        <v>-2.8289E-4</v>
      </c>
      <c r="X5">
        <v>9.1268849999999999E-2</v>
      </c>
      <c r="Y5">
        <v>1.1731999999999999E-4</v>
      </c>
      <c r="Z5">
        <v>5.0146000000000001E-4</v>
      </c>
      <c r="AA5">
        <v>9.1443549999999998E-2</v>
      </c>
      <c r="AB5" s="2">
        <v>780</v>
      </c>
      <c r="AC5">
        <v>34.701338139999997</v>
      </c>
      <c r="AD5">
        <v>35.226164130000001</v>
      </c>
      <c r="AE5">
        <v>36.033167769999999</v>
      </c>
    </row>
    <row r="6" spans="2:31" x14ac:dyDescent="0.3">
      <c r="B6" t="s">
        <v>20</v>
      </c>
      <c r="C6">
        <v>0.68920000000000003</v>
      </c>
      <c r="D6">
        <v>-8.3280000000000003E-3</v>
      </c>
      <c r="E6">
        <v>8.3879999999999996E-3</v>
      </c>
      <c r="G6">
        <v>69.31</v>
      </c>
      <c r="H6">
        <v>-0.22650000000000001</v>
      </c>
      <c r="I6">
        <v>0.22639999999999999</v>
      </c>
      <c r="K6">
        <v>-1.629E-3</v>
      </c>
      <c r="L6">
        <v>-7.9579999999999998E-3</v>
      </c>
      <c r="M6">
        <v>8.0090000000000005E-3</v>
      </c>
      <c r="O6">
        <v>0.64700000000000002</v>
      </c>
      <c r="P6" s="2">
        <v>7.0088015399999998E-5</v>
      </c>
      <c r="Q6" s="2">
        <v>-4.0626418500000002E-5</v>
      </c>
      <c r="R6" s="2">
        <v>5.9819522600000001E-4</v>
      </c>
      <c r="S6" s="2">
        <v>-4.0626418500000002E-5</v>
      </c>
      <c r="T6" s="2">
        <v>6.4224301599999993E-5</v>
      </c>
      <c r="U6" s="2">
        <v>-1.5199525599999999E-4</v>
      </c>
      <c r="V6" s="2">
        <v>5.9819522600000001E-4</v>
      </c>
      <c r="W6" s="2">
        <v>-1.5199525599999999E-4</v>
      </c>
      <c r="X6" s="2">
        <v>5.2064457000000001E-2</v>
      </c>
      <c r="Y6" s="2">
        <v>2.4615796899999999E-5</v>
      </c>
      <c r="Z6" s="2">
        <v>1.0236830200000001E-4</v>
      </c>
      <c r="AA6" s="2">
        <v>5.2071785199999998E-2</v>
      </c>
      <c r="AB6" s="2">
        <v>2100</v>
      </c>
      <c r="AC6">
        <v>35.479882080000003</v>
      </c>
      <c r="AD6">
        <v>35.351004719999999</v>
      </c>
      <c r="AE6">
        <v>34.772582890000002</v>
      </c>
    </row>
    <row r="9" spans="2:31" x14ac:dyDescent="0.3">
      <c r="T9" s="2"/>
    </row>
    <row r="12" spans="2:31" x14ac:dyDescent="0.3">
      <c r="S12" s="2"/>
    </row>
    <row r="13" spans="2:31" x14ac:dyDescent="0.3">
      <c r="S13" s="2"/>
    </row>
    <row r="14" spans="2:31" x14ac:dyDescent="0.3">
      <c r="P14" s="2"/>
      <c r="Q14" s="2"/>
      <c r="R14" s="2"/>
      <c r="S14" s="2"/>
    </row>
    <row r="15" spans="2:31" x14ac:dyDescent="0.3">
      <c r="P15" s="2"/>
      <c r="Q15" s="2"/>
      <c r="R15" s="2"/>
      <c r="S15" s="2"/>
    </row>
    <row r="16" spans="2:31" x14ac:dyDescent="0.3">
      <c r="P16" s="2"/>
      <c r="Q16" s="2"/>
      <c r="R16" s="2"/>
      <c r="S16" s="2"/>
    </row>
    <row r="17" spans="16:20" x14ac:dyDescent="0.3">
      <c r="S17" s="2"/>
    </row>
    <row r="27" spans="16:20" x14ac:dyDescent="0.3">
      <c r="T27" s="2"/>
    </row>
    <row r="30" spans="16:20" x14ac:dyDescent="0.3">
      <c r="S30" s="2"/>
    </row>
    <row r="31" spans="16:20" x14ac:dyDescent="0.3">
      <c r="S31" s="2"/>
    </row>
    <row r="32" spans="16:20" x14ac:dyDescent="0.3">
      <c r="P32" s="2"/>
      <c r="Q32" s="2"/>
      <c r="R32" s="2"/>
      <c r="S32" s="2"/>
    </row>
    <row r="33" spans="16:19" x14ac:dyDescent="0.3">
      <c r="P33" s="2"/>
      <c r="Q33" s="2"/>
      <c r="R33" s="2"/>
      <c r="S33" s="2"/>
    </row>
    <row r="34" spans="16:19" x14ac:dyDescent="0.3">
      <c r="P34" s="2"/>
      <c r="Q34" s="2"/>
      <c r="R34" s="2"/>
      <c r="S34" s="2"/>
    </row>
    <row r="35" spans="16:19" x14ac:dyDescent="0.3">
      <c r="S35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9FBA-C62E-4B3C-ADA7-6F8629C0D791}">
  <dimension ref="B1:U9"/>
  <sheetViews>
    <sheetView zoomScale="64" workbookViewId="0">
      <selection activeCell="J2" sqref="J2"/>
    </sheetView>
  </sheetViews>
  <sheetFormatPr defaultRowHeight="14.4" x14ac:dyDescent="0.3"/>
  <cols>
    <col min="2" max="2" width="19.109375" customWidth="1"/>
    <col min="3" max="3" width="14.109375" customWidth="1"/>
    <col min="4" max="4" width="10.33203125" customWidth="1"/>
    <col min="5" max="5" width="10.88671875" customWidth="1"/>
    <col min="7" max="7" width="13.21875" customWidth="1"/>
    <col min="8" max="8" width="9.21875" customWidth="1"/>
    <col min="9" max="9" width="10.5546875" customWidth="1"/>
    <col min="11" max="11" width="10" customWidth="1"/>
    <col min="12" max="12" width="10.21875" customWidth="1"/>
    <col min="13" max="13" width="10.44140625" customWidth="1"/>
    <col min="16" max="16" width="9.33203125" customWidth="1"/>
    <col min="20" max="20" width="11.109375" customWidth="1"/>
  </cols>
  <sheetData>
    <row r="1" spans="2:21" x14ac:dyDescent="0.3">
      <c r="T1" s="2"/>
    </row>
    <row r="2" spans="2:21" ht="28.8" x14ac:dyDescent="0.3">
      <c r="B2" s="3" t="s">
        <v>29</v>
      </c>
      <c r="C2" t="s">
        <v>1</v>
      </c>
      <c r="D2" t="s">
        <v>30</v>
      </c>
      <c r="E2" t="s">
        <v>31</v>
      </c>
      <c r="G2" t="s">
        <v>2</v>
      </c>
      <c r="H2" t="s">
        <v>32</v>
      </c>
      <c r="I2" t="s">
        <v>33</v>
      </c>
      <c r="K2" t="s">
        <v>3</v>
      </c>
      <c r="L2" t="s">
        <v>34</v>
      </c>
      <c r="M2" t="s">
        <v>35</v>
      </c>
      <c r="O2" t="s">
        <v>4</v>
      </c>
      <c r="P2" s="4" t="s">
        <v>10</v>
      </c>
      <c r="Q2" s="4"/>
      <c r="R2" s="4"/>
      <c r="S2" t="s">
        <v>11</v>
      </c>
      <c r="T2" t="s">
        <v>19</v>
      </c>
      <c r="U2" t="s">
        <v>18</v>
      </c>
    </row>
    <row r="3" spans="2:21" x14ac:dyDescent="0.3">
      <c r="B3" t="s">
        <v>12</v>
      </c>
      <c r="C3">
        <v>0.80659999999999998</v>
      </c>
      <c r="D3">
        <v>-0.39029999999999998</v>
      </c>
      <c r="E3">
        <v>0.34810000000000002</v>
      </c>
      <c r="G3">
        <v>69.53</v>
      </c>
      <c r="H3">
        <v>-0.59240000000000004</v>
      </c>
      <c r="I3">
        <v>0.58430000000000004</v>
      </c>
      <c r="K3">
        <v>-0.30930000000000002</v>
      </c>
      <c r="L3">
        <v>-0.46189999999999998</v>
      </c>
      <c r="M3">
        <v>0.56459999999999999</v>
      </c>
      <c r="O3">
        <v>0.58599999999999997</v>
      </c>
      <c r="P3">
        <v>1.483309E-2</v>
      </c>
      <c r="Q3">
        <v>0.18556977999999999</v>
      </c>
      <c r="R3">
        <v>0.47073828000000001</v>
      </c>
      <c r="S3">
        <v>32</v>
      </c>
      <c r="T3">
        <f>(41.95304201+48.0207947+41.17707056)/3</f>
        <v>43.716969089999999</v>
      </c>
      <c r="U3">
        <v>286</v>
      </c>
    </row>
    <row r="4" spans="2:21" x14ac:dyDescent="0.3">
      <c r="B4" t="s">
        <v>13</v>
      </c>
      <c r="C4">
        <v>0.85260000000000002</v>
      </c>
      <c r="D4">
        <v>-0.26960000000000001</v>
      </c>
      <c r="E4">
        <v>0.20619999999999999</v>
      </c>
      <c r="G4">
        <v>69.540000000000006</v>
      </c>
      <c r="H4">
        <v>-0.40350000000000003</v>
      </c>
      <c r="I4">
        <v>0.40360000000000001</v>
      </c>
      <c r="K4">
        <v>-0.36909999999999998</v>
      </c>
      <c r="L4">
        <v>-0.43990000000000001</v>
      </c>
      <c r="M4">
        <v>0.57909999999999995</v>
      </c>
      <c r="O4">
        <v>0.60499999999999998</v>
      </c>
      <c r="P4">
        <v>7.5177999999999996E-4</v>
      </c>
      <c r="Q4">
        <v>0.12030357</v>
      </c>
      <c r="R4">
        <v>0.28658117999999999</v>
      </c>
      <c r="S4" s="2">
        <v>380</v>
      </c>
      <c r="T4">
        <f>(48.01641492+48.55275876+40.54854949)/3</f>
        <v>45.705907723333333</v>
      </c>
      <c r="U4">
        <v>456</v>
      </c>
    </row>
    <row r="5" spans="2:21" x14ac:dyDescent="0.3">
      <c r="B5" t="s">
        <v>14</v>
      </c>
      <c r="C5">
        <v>0.70120000000000005</v>
      </c>
      <c r="D5">
        <v>-0.183</v>
      </c>
      <c r="E5">
        <v>0.2155</v>
      </c>
      <c r="G5">
        <v>69.59</v>
      </c>
      <c r="H5">
        <v>-0.40139999999999998</v>
      </c>
      <c r="I5">
        <v>0.40920000000000001</v>
      </c>
      <c r="K5">
        <v>3.8030000000000001E-2</v>
      </c>
      <c r="L5">
        <v>-0.4083</v>
      </c>
      <c r="M5">
        <v>0.34389999999999998</v>
      </c>
      <c r="O5">
        <v>0.63</v>
      </c>
      <c r="P5">
        <v>2.7761000000000002E-4</v>
      </c>
      <c r="Q5">
        <v>6.9343740000000001E-2</v>
      </c>
      <c r="R5">
        <v>0.25520611999999998</v>
      </c>
      <c r="S5" s="2">
        <v>920</v>
      </c>
      <c r="T5">
        <f>(38.60479803+38.51581893+39.11051392)/3</f>
        <v>38.743710293333336</v>
      </c>
      <c r="U5">
        <v>596</v>
      </c>
    </row>
    <row r="6" spans="2:21" x14ac:dyDescent="0.3">
      <c r="B6" t="s">
        <v>15</v>
      </c>
      <c r="C6">
        <v>0.68030000000000002</v>
      </c>
      <c r="D6">
        <v>-0.16250000000000001</v>
      </c>
      <c r="E6">
        <v>0.16420000000000001</v>
      </c>
      <c r="G6">
        <v>69.510000000000005</v>
      </c>
      <c r="H6">
        <v>-0.39079999999999998</v>
      </c>
      <c r="I6">
        <v>0.40179999999999999</v>
      </c>
      <c r="K6">
        <v>5.9040000000000002E-2</v>
      </c>
      <c r="L6">
        <v>-0.28460000000000002</v>
      </c>
      <c r="M6">
        <v>0.2848</v>
      </c>
      <c r="O6">
        <v>0.64300000000000002</v>
      </c>
      <c r="P6" s="2">
        <v>1.82457804E-4</v>
      </c>
      <c r="Q6" s="2">
        <v>4.5305342700000001E-2</v>
      </c>
      <c r="R6" s="2">
        <v>0.212610469</v>
      </c>
      <c r="S6" s="2">
        <v>1200</v>
      </c>
      <c r="T6">
        <f>(34.42898089+34.37994385+35.57550348)/3</f>
        <v>34.794809406666666</v>
      </c>
      <c r="U6">
        <v>662</v>
      </c>
    </row>
    <row r="7" spans="2:21" x14ac:dyDescent="0.3">
      <c r="B7" t="s">
        <v>16</v>
      </c>
      <c r="C7">
        <v>0.76900000000000002</v>
      </c>
      <c r="D7">
        <v>-0.13270000000000001</v>
      </c>
      <c r="E7">
        <v>0.1283</v>
      </c>
      <c r="G7">
        <v>69.599999999999994</v>
      </c>
      <c r="H7">
        <v>-0.38869999999999999</v>
      </c>
      <c r="I7">
        <v>0.38640000000000002</v>
      </c>
      <c r="K7">
        <v>-0.11409999999999999</v>
      </c>
      <c r="L7">
        <v>-0.20949999999999999</v>
      </c>
      <c r="M7">
        <v>0.2195</v>
      </c>
      <c r="O7">
        <v>0.64700000000000002</v>
      </c>
      <c r="P7" s="2">
        <v>1.4769275000000001E-4</v>
      </c>
      <c r="Q7" s="2">
        <v>3.2447299499999999E-2</v>
      </c>
      <c r="R7" s="2">
        <v>0.18447190499999999</v>
      </c>
      <c r="S7" s="2">
        <v>1200</v>
      </c>
      <c r="T7">
        <f>(37.17488024+37.55674176+32.67860701)/3</f>
        <v>35.803409670000001</v>
      </c>
      <c r="U7">
        <v>697</v>
      </c>
    </row>
    <row r="8" spans="2:21" x14ac:dyDescent="0.3">
      <c r="B8" t="s">
        <v>17</v>
      </c>
      <c r="C8">
        <v>0.69820000000000004</v>
      </c>
      <c r="D8">
        <v>-0.11260000000000001</v>
      </c>
      <c r="E8">
        <v>0.108</v>
      </c>
      <c r="G8">
        <v>69.510000000000005</v>
      </c>
      <c r="H8">
        <v>-0.37480000000000002</v>
      </c>
      <c r="I8">
        <v>0.3745</v>
      </c>
      <c r="K8">
        <v>1.6070000000000001E-2</v>
      </c>
      <c r="L8">
        <v>-0.1726</v>
      </c>
      <c r="M8">
        <v>0.17799999999999999</v>
      </c>
      <c r="O8">
        <v>0.64600000000000002</v>
      </c>
      <c r="P8" s="2">
        <v>1.3093522600000001E-4</v>
      </c>
      <c r="Q8" s="2">
        <v>2.3918394700000001E-2</v>
      </c>
      <c r="R8" s="2">
        <v>0.16331831799999999</v>
      </c>
      <c r="S8" s="2">
        <v>1200</v>
      </c>
      <c r="T8">
        <f>(38.31371612+39.60353928+34.47433264)/3</f>
        <v>37.463862679999998</v>
      </c>
      <c r="U8">
        <v>714</v>
      </c>
    </row>
    <row r="9" spans="2:21" x14ac:dyDescent="0.3">
      <c r="S9" s="2"/>
    </row>
  </sheetData>
  <mergeCells count="1">
    <mergeCell ref="P2:R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4EA0-9DA7-4B8C-86CC-08BF219EFD2A}">
  <dimension ref="B2:O5"/>
  <sheetViews>
    <sheetView tabSelected="1" zoomScale="87" workbookViewId="0">
      <selection activeCell="K9" sqref="K9"/>
    </sheetView>
  </sheetViews>
  <sheetFormatPr defaultRowHeight="14.4" x14ac:dyDescent="0.3"/>
  <cols>
    <col min="2" max="2" width="19.109375" customWidth="1"/>
    <col min="3" max="3" width="14.109375" customWidth="1"/>
    <col min="4" max="4" width="10.33203125" customWidth="1"/>
    <col min="5" max="5" width="10.88671875" customWidth="1"/>
    <col min="7" max="7" width="13.21875" customWidth="1"/>
    <col min="8" max="8" width="9.21875" customWidth="1"/>
    <col min="9" max="9" width="10.5546875" customWidth="1"/>
    <col min="11" max="11" width="10" customWidth="1"/>
    <col min="12" max="12" width="10.21875" customWidth="1"/>
    <col min="13" max="13" width="10.44140625" customWidth="1"/>
    <col min="16" max="16" width="9.33203125" customWidth="1"/>
    <col min="20" max="20" width="11.109375" customWidth="1"/>
  </cols>
  <sheetData>
    <row r="2" spans="2:15" x14ac:dyDescent="0.3">
      <c r="B2" t="s">
        <v>21</v>
      </c>
      <c r="C2" t="s">
        <v>1</v>
      </c>
      <c r="D2" t="s">
        <v>30</v>
      </c>
      <c r="E2" t="s">
        <v>31</v>
      </c>
      <c r="G2" t="s">
        <v>2</v>
      </c>
      <c r="H2" t="s">
        <v>32</v>
      </c>
      <c r="I2" t="s">
        <v>33</v>
      </c>
      <c r="K2" t="s">
        <v>3</v>
      </c>
      <c r="L2" t="s">
        <v>34</v>
      </c>
      <c r="M2" t="s">
        <v>35</v>
      </c>
      <c r="O2" t="s">
        <v>25</v>
      </c>
    </row>
    <row r="3" spans="2:15" x14ac:dyDescent="0.3">
      <c r="B3" t="s">
        <v>22</v>
      </c>
      <c r="C3">
        <v>0.7278</v>
      </c>
      <c r="D3">
        <v>-1.2999999999999999E-2</v>
      </c>
      <c r="E3">
        <v>1.2999999999999999E-2</v>
      </c>
      <c r="G3">
        <v>70</v>
      </c>
      <c r="H3">
        <v>0</v>
      </c>
      <c r="I3">
        <v>0</v>
      </c>
      <c r="K3">
        <v>0</v>
      </c>
      <c r="L3">
        <v>0</v>
      </c>
      <c r="M3">
        <v>0</v>
      </c>
      <c r="O3">
        <v>1.7168000000000001</v>
      </c>
    </row>
    <row r="4" spans="2:15" x14ac:dyDescent="0.3">
      <c r="B4" t="s">
        <v>23</v>
      </c>
      <c r="C4">
        <v>0.70809999999999995</v>
      </c>
      <c r="D4">
        <v>-0.02</v>
      </c>
      <c r="E4">
        <v>1.9E-2</v>
      </c>
      <c r="G4">
        <v>69.540000000000006</v>
      </c>
      <c r="H4">
        <v>-0.30599999999999999</v>
      </c>
      <c r="I4">
        <v>0.30599999999999999</v>
      </c>
      <c r="K4">
        <v>0</v>
      </c>
      <c r="L4">
        <v>0</v>
      </c>
      <c r="M4">
        <v>0</v>
      </c>
      <c r="O4">
        <v>1.716</v>
      </c>
    </row>
    <row r="5" spans="2:15" x14ac:dyDescent="0.3">
      <c r="B5" t="s">
        <v>24</v>
      </c>
      <c r="C5">
        <v>0.70809999999999995</v>
      </c>
      <c r="D5">
        <v>-0.11899999999999999</v>
      </c>
      <c r="E5">
        <v>0.105</v>
      </c>
      <c r="G5">
        <v>69.540000000000006</v>
      </c>
      <c r="H5">
        <v>-0.377</v>
      </c>
      <c r="I5">
        <v>0.35899999999999999</v>
      </c>
      <c r="K5">
        <v>1.193E-4</v>
      </c>
      <c r="L5">
        <v>-0.16600000000000001</v>
      </c>
      <c r="M5">
        <v>0.189</v>
      </c>
      <c r="O5">
        <v>1.7183999999999999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9779CE51381A47A2D563D620AB4F4F" ma:contentTypeVersion="14" ma:contentTypeDescription="Create a new document." ma:contentTypeScope="" ma:versionID="9836cfbd5bda03dcca4367e592b7d388">
  <xsd:schema xmlns:xsd="http://www.w3.org/2001/XMLSchema" xmlns:xs="http://www.w3.org/2001/XMLSchema" xmlns:p="http://schemas.microsoft.com/office/2006/metadata/properties" xmlns:ns3="a92532b4-f879-4fe1-8d04-1598af4c66df" xmlns:ns4="0e2b3051-a01b-4d08-a066-d3d830b6acb3" targetNamespace="http://schemas.microsoft.com/office/2006/metadata/properties" ma:root="true" ma:fieldsID="f55fd03ad874785ffaac62a1a7ac6935" ns3:_="" ns4:_="">
    <xsd:import namespace="a92532b4-f879-4fe1-8d04-1598af4c66df"/>
    <xsd:import namespace="0e2b3051-a01b-4d08-a066-d3d830b6acb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532b4-f879-4fe1-8d04-1598af4c66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2b3051-a01b-4d08-a066-d3d830b6acb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92532b4-f879-4fe1-8d04-1598af4c66d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8A1C85-A60A-4083-A756-69973943C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2532b4-f879-4fe1-8d04-1598af4c66df"/>
    <ds:schemaRef ds:uri="0e2b3051-a01b-4d08-a066-d3d830b6acb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BE6D36-C8FF-4779-812D-8A5C120E9773}">
  <ds:schemaRefs>
    <ds:schemaRef ds:uri="http://schemas.microsoft.com/office/2006/documentManagement/types"/>
    <ds:schemaRef ds:uri="0e2b3051-a01b-4d08-a066-d3d830b6acb3"/>
    <ds:schemaRef ds:uri="http://www.w3.org/XML/1998/namespace"/>
    <ds:schemaRef ds:uri="http://purl.org/dc/elements/1.1/"/>
    <ds:schemaRef ds:uri="a92532b4-f879-4fe1-8d04-1598af4c66df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50C4C1D-6D9B-45A9-A99E-05EE4DC1E73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1D</vt:lpstr>
      <vt:lpstr>2D</vt:lpstr>
      <vt:lpstr>3D</vt:lpstr>
      <vt:lpstr>Various zs</vt:lpstr>
      <vt:lpstr>chi2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FOLKES-MILLER, SIENNA P. (Student)</dc:creator>
  <cp:lastModifiedBy>FOLKES-MILLER, SIENNA P. (Student)</cp:lastModifiedBy>
  <dcterms:created xsi:type="dcterms:W3CDTF">2026-02-08T16:39:37Z</dcterms:created>
  <dcterms:modified xsi:type="dcterms:W3CDTF">2026-02-09T19:17:19Z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0x010100C39779CE51381A47A2D563D620AB4F4F</vt:lpwstr>
  </property>
</Properties>
</file>