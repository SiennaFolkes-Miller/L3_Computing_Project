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folk\L3PPP\Extension\New data\"/>
    </mc:Choice>
  </mc:AlternateContent>
  <xr:revisionPtr revIDLastSave="0" documentId="8_{1BFE8C48-1155-4B39-BD6C-DB070CA309E8}" xr6:coauthVersionLast="47" xr6:coauthVersionMax="47" xr10:uidLastSave="{00000000-0000-0000-0000-000000000000}"/>
  <bookViews>
    <workbookView xWindow="-108" yWindow="-108" windowWidth="23256" windowHeight="12456" activeTab="1" xr2:uid="{233CAA3C-2DF9-4868-852D-9F2BF2D68E0B}"/>
  </bookViews>
  <sheets>
    <sheet name="1D" sheetId="1" r:id="rId1"/>
    <sheet name="2D" sheetId="5" r:id="rId2"/>
    <sheet name="3D" sheetId="4" r:id="rId3"/>
    <sheet name="Various zs" sheetId="3" r:id="rId4"/>
    <sheet name="chi2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" i="3" l="1"/>
  <c r="T7" i="3"/>
  <c r="T6" i="3"/>
  <c r="T5" i="3"/>
  <c r="T4" i="3"/>
  <c r="T3" i="3"/>
</calcChain>
</file>

<file path=xl/sharedStrings.xml><?xml version="1.0" encoding="utf-8"?>
<sst xmlns="http://schemas.openxmlformats.org/spreadsheetml/2006/main" count="77" uniqueCount="36">
  <si>
    <t>Flat_wide</t>
  </si>
  <si>
    <t>Omega Lambda</t>
  </si>
  <si>
    <t>H0</t>
  </si>
  <si>
    <t>Omega k</t>
  </si>
  <si>
    <t>MAF</t>
  </si>
  <si>
    <t>1D var</t>
  </si>
  <si>
    <t>Tau</t>
  </si>
  <si>
    <t>Flat_narrow</t>
  </si>
  <si>
    <t>CMB_gaussian</t>
  </si>
  <si>
    <t>Covariance matrix</t>
  </si>
  <si>
    <t>Eigenvalues</t>
  </si>
  <si>
    <t>C number</t>
  </si>
  <si>
    <t>zlt0.10</t>
  </si>
  <si>
    <t>zlt0.36</t>
  </si>
  <si>
    <t>zlt0.63</t>
  </si>
  <si>
    <t>zlt0.89</t>
  </si>
  <si>
    <t>zlt1.15</t>
  </si>
  <si>
    <t>zlt1.41</t>
  </si>
  <si>
    <t>N</t>
  </si>
  <si>
    <t>Tau average</t>
  </si>
  <si>
    <t>CMB_directional</t>
  </si>
  <si>
    <t>Chi2</t>
  </si>
  <si>
    <t>1D</t>
  </si>
  <si>
    <t>2D</t>
  </si>
  <si>
    <t>3D</t>
  </si>
  <si>
    <t>chi red</t>
  </si>
  <si>
    <t xml:space="preserve"> 50 walkers, 2000 steps</t>
  </si>
  <si>
    <t>75 walkers, 3000 steps</t>
  </si>
  <si>
    <t>100 walkers, 5000 steps</t>
  </si>
  <si>
    <t>3D, 50 walkers, 3000 steps, flat_wide</t>
  </si>
  <si>
    <t>OL minus error</t>
  </si>
  <si>
    <t>OL plus error</t>
  </si>
  <si>
    <t>H0 minus error</t>
  </si>
  <si>
    <t>H0 plus error</t>
  </si>
  <si>
    <t>Ok minus error</t>
  </si>
  <si>
    <t>Ok plus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</si>
</sst>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7D6F-E290-41F4-AE2E-950EF501CBD7}">
  <dimension ref="B2:AE35"/>
  <sheetViews>
    <sheetView zoomScale="76" workbookViewId="0">
      <selection activeCell="E4" sqref="E4"/>
    </sheetView>
  </sheetViews>
  <sheetFormatPr defaultRowHeight="14.4" x14ac:dyDescent="0.3"/>
  <cols>
    <col min="2" max="2" width="19.109375" customWidth="1"/>
    <col min="3" max="3" width="14.109375" customWidth="1"/>
    <col min="4" max="4" width="10.33203125" customWidth="1"/>
    <col min="5" max="5" width="10.88671875" customWidth="1"/>
    <col min="7" max="7" width="13.21875" customWidth="1"/>
    <col min="8" max="8" width="9.21875" customWidth="1"/>
    <col min="9" max="9" width="10.5546875" customWidth="1"/>
    <col min="11" max="11" width="10" customWidth="1"/>
    <col min="12" max="12" width="10.21875" customWidth="1"/>
    <col min="13" max="13" width="10.44140625" customWidth="1"/>
    <col min="16" max="16" width="9.33203125" customWidth="1"/>
    <col min="20" max="20" width="11.109375" customWidth="1"/>
  </cols>
  <sheetData>
    <row r="2" spans="2:20" x14ac:dyDescent="0.3">
      <c r="B2" t="s">
        <v>26</v>
      </c>
      <c r="C2" t="s">
        <v>1</v>
      </c>
      <c r="D2" t="s">
        <v>30</v>
      </c>
      <c r="E2" t="s">
        <v>31</v>
      </c>
      <c r="G2" t="s">
        <v>4</v>
      </c>
      <c r="H2" t="s">
        <v>5</v>
      </c>
      <c r="I2" t="s">
        <v>6</v>
      </c>
    </row>
    <row r="3" spans="2:20" x14ac:dyDescent="0.3">
      <c r="B3" t="s">
        <v>0</v>
      </c>
      <c r="C3">
        <v>0.72789999999999999</v>
      </c>
      <c r="D3">
        <v>-1.2749999999999999E-2</v>
      </c>
      <c r="E3">
        <v>1.2409999999999999E-2</v>
      </c>
      <c r="G3">
        <v>0.80800000000000005</v>
      </c>
      <c r="H3">
        <v>1.6178000000000001E-4</v>
      </c>
      <c r="I3">
        <v>22.957966679999998</v>
      </c>
    </row>
    <row r="4" spans="2:20" x14ac:dyDescent="0.3">
      <c r="B4" t="s">
        <v>7</v>
      </c>
      <c r="C4">
        <v>0.72729999999999995</v>
      </c>
      <c r="D4">
        <v>-1.299E-2</v>
      </c>
      <c r="E4">
        <v>1.286E-2</v>
      </c>
      <c r="G4">
        <v>0.80400000000000005</v>
      </c>
      <c r="H4">
        <v>1.674E-4</v>
      </c>
      <c r="I4">
        <v>25.981015960000001</v>
      </c>
    </row>
    <row r="6" spans="2:20" x14ac:dyDescent="0.3">
      <c r="H6" s="1"/>
    </row>
    <row r="12" spans="2:20" x14ac:dyDescent="0.3">
      <c r="L12" s="3"/>
      <c r="M12" s="3"/>
      <c r="N12" s="3"/>
      <c r="O12" s="3"/>
      <c r="P12" s="3"/>
      <c r="Q12" s="3"/>
      <c r="S12" s="3"/>
      <c r="T12" s="3"/>
    </row>
    <row r="13" spans="2:20" x14ac:dyDescent="0.3">
      <c r="R13" s="1"/>
    </row>
    <row r="14" spans="2:20" x14ac:dyDescent="0.3">
      <c r="R14" s="1"/>
    </row>
    <row r="15" spans="2:20" x14ac:dyDescent="0.3">
      <c r="R15" s="1"/>
    </row>
    <row r="16" spans="2:20" x14ac:dyDescent="0.3">
      <c r="L16" s="1"/>
      <c r="M16" s="1"/>
      <c r="N16" s="1"/>
      <c r="O16" s="1"/>
      <c r="P16" s="1"/>
      <c r="Q16" s="1"/>
      <c r="R16" s="1"/>
    </row>
    <row r="20" spans="16:31" x14ac:dyDescent="0.3"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C20" s="3"/>
      <c r="AD20" s="3"/>
      <c r="AE20" s="3"/>
    </row>
    <row r="21" spans="16:31" x14ac:dyDescent="0.3">
      <c r="T21" s="1"/>
      <c r="Y21" s="1"/>
      <c r="Z21" s="1"/>
      <c r="AA21" s="1"/>
      <c r="AB21" s="1"/>
    </row>
    <row r="22" spans="16:31" x14ac:dyDescent="0.3">
      <c r="R22" s="1"/>
      <c r="AB22" s="1"/>
    </row>
    <row r="23" spans="16:31" x14ac:dyDescent="0.3">
      <c r="AB23" s="1"/>
    </row>
    <row r="24" spans="16:31" x14ac:dyDescent="0.3"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7" spans="16:31" x14ac:dyDescent="0.3">
      <c r="T27" s="1"/>
    </row>
    <row r="28" spans="16:31" x14ac:dyDescent="0.3">
      <c r="P28" s="3"/>
      <c r="Q28" s="3"/>
      <c r="R28" s="3"/>
    </row>
    <row r="30" spans="16:31" x14ac:dyDescent="0.3">
      <c r="S30" s="1"/>
    </row>
    <row r="31" spans="16:31" x14ac:dyDescent="0.3">
      <c r="S31" s="1"/>
    </row>
    <row r="32" spans="16:31" x14ac:dyDescent="0.3">
      <c r="P32" s="1"/>
      <c r="Q32" s="1"/>
      <c r="R32" s="1"/>
      <c r="S32" s="1"/>
    </row>
    <row r="33" spans="16:19" x14ac:dyDescent="0.3">
      <c r="P33" s="1"/>
      <c r="Q33" s="1"/>
      <c r="R33" s="1"/>
      <c r="S33" s="1"/>
    </row>
    <row r="34" spans="16:19" x14ac:dyDescent="0.3">
      <c r="P34" s="1"/>
      <c r="Q34" s="1"/>
      <c r="R34" s="1"/>
      <c r="S34" s="1"/>
    </row>
    <row r="35" spans="16:19" x14ac:dyDescent="0.3">
      <c r="S35" s="1"/>
    </row>
  </sheetData>
  <mergeCells count="7">
    <mergeCell ref="P28:R28"/>
    <mergeCell ref="P20:X20"/>
    <mergeCell ref="Y20:AA20"/>
    <mergeCell ref="AC20:AE20"/>
    <mergeCell ref="L12:O12"/>
    <mergeCell ref="P12:Q12"/>
    <mergeCell ref="S12:T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334AB-8F4C-4383-860A-8BC65998539D}">
  <dimension ref="B2:AB35"/>
  <sheetViews>
    <sheetView tabSelected="1" zoomScale="84" workbookViewId="0">
      <selection activeCell="I6" sqref="I6"/>
    </sheetView>
  </sheetViews>
  <sheetFormatPr defaultRowHeight="14.4" x14ac:dyDescent="0.3"/>
  <cols>
    <col min="2" max="2" width="19.109375" customWidth="1"/>
    <col min="3" max="3" width="14.109375" customWidth="1"/>
    <col min="4" max="4" width="10.33203125" customWidth="1"/>
    <col min="5" max="5" width="10.88671875" customWidth="1"/>
    <col min="7" max="7" width="13.21875" customWidth="1"/>
    <col min="8" max="8" width="9.21875" customWidth="1"/>
    <col min="9" max="9" width="10.5546875" customWidth="1"/>
    <col min="11" max="11" width="10" customWidth="1"/>
    <col min="12" max="12" width="10.21875" customWidth="1"/>
    <col min="13" max="13" width="10.44140625" customWidth="1"/>
    <col min="16" max="16" width="9.33203125" customWidth="1"/>
    <col min="20" max="20" width="11.109375" customWidth="1"/>
  </cols>
  <sheetData>
    <row r="2" spans="2:20" x14ac:dyDescent="0.3">
      <c r="B2" t="s">
        <v>27</v>
      </c>
      <c r="C2" t="s">
        <v>1</v>
      </c>
      <c r="D2" t="s">
        <v>30</v>
      </c>
      <c r="E2" t="s">
        <v>31</v>
      </c>
      <c r="G2" t="s">
        <v>2</v>
      </c>
      <c r="H2" t="s">
        <v>32</v>
      </c>
      <c r="I2" t="s">
        <v>33</v>
      </c>
      <c r="K2" t="s">
        <v>4</v>
      </c>
      <c r="L2" s="3" t="s">
        <v>9</v>
      </c>
      <c r="M2" s="3"/>
      <c r="N2" s="3"/>
      <c r="O2" s="3"/>
      <c r="P2" s="3" t="s">
        <v>10</v>
      </c>
      <c r="Q2" s="3"/>
      <c r="R2" t="s">
        <v>11</v>
      </c>
      <c r="S2" s="3" t="s">
        <v>6</v>
      </c>
      <c r="T2" s="3"/>
    </row>
    <row r="3" spans="2:20" x14ac:dyDescent="0.3">
      <c r="B3" t="s">
        <v>0</v>
      </c>
      <c r="C3">
        <v>0.70760000000000001</v>
      </c>
      <c r="D3">
        <v>-1.8800000000000001E-2</v>
      </c>
      <c r="E3">
        <v>1.84E-2</v>
      </c>
      <c r="G3">
        <v>69.53</v>
      </c>
      <c r="H3">
        <v>-0.30359999999999998</v>
      </c>
      <c r="I3">
        <v>0.3034</v>
      </c>
      <c r="K3">
        <v>0.71499999999999997</v>
      </c>
      <c r="L3">
        <v>3.4987000000000001E-4</v>
      </c>
      <c r="M3">
        <v>4.0623999999999999E-3</v>
      </c>
      <c r="N3">
        <v>4.0623999999999999E-3</v>
      </c>
      <c r="O3">
        <v>9.2984769999999994E-2</v>
      </c>
      <c r="P3">
        <v>1.7206E-4</v>
      </c>
      <c r="Q3">
        <v>9.3162579999999995E-2</v>
      </c>
      <c r="R3" s="1">
        <v>540</v>
      </c>
      <c r="S3">
        <v>28.045503220000001</v>
      </c>
      <c r="T3">
        <v>27.567859599999998</v>
      </c>
    </row>
    <row r="4" spans="2:20" x14ac:dyDescent="0.3">
      <c r="B4" t="s">
        <v>7</v>
      </c>
      <c r="C4">
        <v>0.70720000000000005</v>
      </c>
      <c r="D4">
        <v>-1.882E-2</v>
      </c>
      <c r="E4">
        <v>1.839E-2</v>
      </c>
      <c r="G4">
        <v>69.53</v>
      </c>
      <c r="H4">
        <v>-0.30159999999999998</v>
      </c>
      <c r="I4">
        <v>0.29899999999999999</v>
      </c>
      <c r="K4">
        <v>0.71499999999999997</v>
      </c>
      <c r="L4">
        <v>3.5107999999999998E-4</v>
      </c>
      <c r="M4">
        <v>4.0195700000000001E-3</v>
      </c>
      <c r="N4">
        <v>4.0195700000000001E-3</v>
      </c>
      <c r="O4">
        <v>9.192082E-2</v>
      </c>
      <c r="P4">
        <v>1.7496999999999999E-4</v>
      </c>
      <c r="Q4">
        <v>9.2096919999999999E-2</v>
      </c>
      <c r="R4" s="1">
        <v>530</v>
      </c>
      <c r="S4">
        <v>28.366975180000001</v>
      </c>
      <c r="T4">
        <v>29.432258640000001</v>
      </c>
    </row>
    <row r="5" spans="2:20" x14ac:dyDescent="0.3">
      <c r="B5" t="s">
        <v>8</v>
      </c>
      <c r="C5">
        <v>0.70189999999999997</v>
      </c>
      <c r="D5">
        <v>-1.6580000000000001E-2</v>
      </c>
      <c r="E5">
        <v>1.6420000000000001E-2</v>
      </c>
      <c r="G5">
        <v>69.45</v>
      </c>
      <c r="H5">
        <v>-0.28310000000000002</v>
      </c>
      <c r="I5">
        <v>0.2843</v>
      </c>
      <c r="K5">
        <v>0.71499999999999997</v>
      </c>
      <c r="L5">
        <v>2.7730000000000002E-4</v>
      </c>
      <c r="M5">
        <v>3.1389199999999999E-3</v>
      </c>
      <c r="N5">
        <v>3.1389199999999999E-3</v>
      </c>
      <c r="O5">
        <v>8.1426059999999995E-2</v>
      </c>
      <c r="P5">
        <v>1.5606999999999999E-4</v>
      </c>
      <c r="Q5">
        <v>8.1547300000000003E-2</v>
      </c>
      <c r="R5" s="1">
        <v>520</v>
      </c>
      <c r="S5">
        <v>30.107426100000001</v>
      </c>
      <c r="T5">
        <v>29.928084420000001</v>
      </c>
    </row>
    <row r="6" spans="2:20" x14ac:dyDescent="0.3">
      <c r="B6" t="s">
        <v>20</v>
      </c>
      <c r="C6">
        <v>0.70469999999999999</v>
      </c>
      <c r="D6">
        <v>-6.607E-3</v>
      </c>
      <c r="E6">
        <v>6.6579999999999999E-3</v>
      </c>
      <c r="G6">
        <v>69.489999999999995</v>
      </c>
      <c r="H6">
        <v>-0.25280000000000002</v>
      </c>
      <c r="I6">
        <v>0.25430000000000003</v>
      </c>
      <c r="K6">
        <v>0.71399999999999997</v>
      </c>
      <c r="L6" s="1">
        <v>4.42089473E-5</v>
      </c>
      <c r="M6" s="1">
        <v>1.12294879E-3</v>
      </c>
      <c r="N6" s="1">
        <v>1.12294879E-3</v>
      </c>
      <c r="O6" s="1">
        <v>6.4405553199999993E-2</v>
      </c>
      <c r="P6" s="1">
        <v>2.46221851E-5</v>
      </c>
      <c r="Q6" s="1">
        <v>6.4425139899999997E-2</v>
      </c>
      <c r="R6" s="1">
        <v>2600</v>
      </c>
      <c r="S6">
        <v>28.036858030000001</v>
      </c>
      <c r="T6">
        <v>29.248545719999999</v>
      </c>
    </row>
    <row r="11" spans="2:20" x14ac:dyDescent="0.3">
      <c r="T11" s="1"/>
    </row>
    <row r="12" spans="2:20" x14ac:dyDescent="0.3">
      <c r="R12" s="1"/>
    </row>
    <row r="14" spans="2:20" x14ac:dyDescent="0.3">
      <c r="P14" s="1"/>
      <c r="Q14" s="1"/>
      <c r="R14" s="1"/>
      <c r="S14" s="1"/>
      <c r="T14" s="1"/>
    </row>
    <row r="17" spans="16:28" x14ac:dyDescent="0.3">
      <c r="T17" s="1"/>
    </row>
    <row r="21" spans="16:28" x14ac:dyDescent="0.3">
      <c r="T21" s="1"/>
      <c r="Y21" s="1"/>
      <c r="Z21" s="1"/>
      <c r="AA21" s="1"/>
      <c r="AB21" s="1"/>
    </row>
    <row r="22" spans="16:28" x14ac:dyDescent="0.3">
      <c r="R22" s="1"/>
      <c r="AB22" s="1"/>
    </row>
    <row r="23" spans="16:28" x14ac:dyDescent="0.3">
      <c r="AB23" s="1"/>
    </row>
    <row r="24" spans="16:28" x14ac:dyDescent="0.3"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7" spans="16:28" x14ac:dyDescent="0.3">
      <c r="T27" s="1"/>
    </row>
    <row r="30" spans="16:28" x14ac:dyDescent="0.3">
      <c r="S30" s="1"/>
    </row>
    <row r="31" spans="16:28" x14ac:dyDescent="0.3">
      <c r="S31" s="1"/>
    </row>
    <row r="32" spans="16:28" x14ac:dyDescent="0.3">
      <c r="P32" s="1"/>
      <c r="Q32" s="1"/>
      <c r="R32" s="1"/>
      <c r="S32" s="1"/>
    </row>
    <row r="33" spans="16:19" x14ac:dyDescent="0.3">
      <c r="P33" s="1"/>
      <c r="Q33" s="1"/>
      <c r="R33" s="1"/>
      <c r="S33" s="1"/>
    </row>
    <row r="34" spans="16:19" x14ac:dyDescent="0.3">
      <c r="P34" s="1"/>
      <c r="Q34" s="1"/>
      <c r="R34" s="1"/>
      <c r="S34" s="1"/>
    </row>
    <row r="35" spans="16:19" x14ac:dyDescent="0.3">
      <c r="S35" s="1"/>
    </row>
  </sheetData>
  <mergeCells count="3">
    <mergeCell ref="L2:O2"/>
    <mergeCell ref="P2:Q2"/>
    <mergeCell ref="S2:T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6EB6D-5F7D-4811-9F3C-D2A144A8AD4F}">
  <dimension ref="B2:AE35"/>
  <sheetViews>
    <sheetView zoomScale="84" workbookViewId="0">
      <selection activeCell="I4" sqref="I4"/>
    </sheetView>
  </sheetViews>
  <sheetFormatPr defaultRowHeight="14.4" x14ac:dyDescent="0.3"/>
  <cols>
    <col min="2" max="2" width="19.109375" customWidth="1"/>
    <col min="3" max="3" width="14.109375" customWidth="1"/>
    <col min="4" max="4" width="10.33203125" customWidth="1"/>
    <col min="5" max="5" width="10.88671875" customWidth="1"/>
    <col min="7" max="7" width="13.21875" customWidth="1"/>
    <col min="8" max="8" width="9.21875" customWidth="1"/>
    <col min="9" max="9" width="10.5546875" customWidth="1"/>
    <col min="11" max="11" width="10" customWidth="1"/>
    <col min="12" max="12" width="10.21875" customWidth="1"/>
    <col min="13" max="13" width="10.44140625" customWidth="1"/>
    <col min="16" max="16" width="9.33203125" customWidth="1"/>
    <col min="20" max="20" width="11.109375" customWidth="1"/>
  </cols>
  <sheetData>
    <row r="2" spans="2:31" x14ac:dyDescent="0.3">
      <c r="B2" t="s">
        <v>28</v>
      </c>
      <c r="C2" t="s">
        <v>1</v>
      </c>
      <c r="D2" t="s">
        <v>30</v>
      </c>
      <c r="E2" t="s">
        <v>31</v>
      </c>
      <c r="G2" t="s">
        <v>2</v>
      </c>
      <c r="H2" t="s">
        <v>32</v>
      </c>
      <c r="I2" t="s">
        <v>33</v>
      </c>
      <c r="K2" t="s">
        <v>3</v>
      </c>
      <c r="L2" t="s">
        <v>34</v>
      </c>
      <c r="M2" t="s">
        <v>35</v>
      </c>
      <c r="O2" t="s">
        <v>4</v>
      </c>
      <c r="P2" s="3" t="s">
        <v>9</v>
      </c>
      <c r="Q2" s="3"/>
      <c r="R2" s="3"/>
      <c r="S2" s="3"/>
      <c r="T2" s="3"/>
      <c r="U2" s="3"/>
      <c r="V2" s="3"/>
      <c r="W2" s="3"/>
      <c r="X2" s="3"/>
      <c r="Y2" s="3" t="s">
        <v>10</v>
      </c>
      <c r="Z2" s="3"/>
      <c r="AA2" s="3"/>
      <c r="AB2" t="s">
        <v>11</v>
      </c>
      <c r="AC2" s="3" t="s">
        <v>6</v>
      </c>
      <c r="AD2" s="3"/>
      <c r="AE2" s="3"/>
    </row>
    <row r="3" spans="2:31" x14ac:dyDescent="0.3">
      <c r="B3" t="s">
        <v>0</v>
      </c>
      <c r="C3">
        <v>0.69920000000000004</v>
      </c>
      <c r="D3">
        <v>-0.11459999999999999</v>
      </c>
      <c r="E3">
        <v>0.1085</v>
      </c>
      <c r="G3">
        <v>69.510000000000005</v>
      </c>
      <c r="H3">
        <v>-0.3805</v>
      </c>
      <c r="I3">
        <v>0.374</v>
      </c>
      <c r="K3">
        <v>1.3169999999999999E-2</v>
      </c>
      <c r="L3">
        <v>-0.1716</v>
      </c>
      <c r="M3">
        <v>0.18099999999999999</v>
      </c>
      <c r="O3">
        <v>0.64600000000000002</v>
      </c>
      <c r="P3">
        <v>1.2577980000000001E-2</v>
      </c>
      <c r="Q3">
        <v>-1.9625030000000002E-2</v>
      </c>
      <c r="R3">
        <v>2.8812310000000001E-2</v>
      </c>
      <c r="S3">
        <v>-1.9625030000000002E-2</v>
      </c>
      <c r="T3" s="1">
        <v>3.1492350000000002E-2</v>
      </c>
      <c r="U3">
        <v>-3.9769649999999997E-2</v>
      </c>
      <c r="V3">
        <v>2.8812310000000001E-2</v>
      </c>
      <c r="W3">
        <v>-3.9769649999999997E-2</v>
      </c>
      <c r="X3">
        <v>0.14338797</v>
      </c>
      <c r="Y3" s="1">
        <v>1.3113455299999999E-4</v>
      </c>
      <c r="Z3" s="1">
        <v>2.3813152099999998E-2</v>
      </c>
      <c r="AA3" s="1">
        <v>0.16351400799999999</v>
      </c>
      <c r="AB3" s="1">
        <v>1200</v>
      </c>
      <c r="AC3">
        <v>36.429735280000003</v>
      </c>
      <c r="AD3">
        <v>36.799960480000003</v>
      </c>
      <c r="AE3">
        <v>34.208509849999999</v>
      </c>
    </row>
    <row r="4" spans="2:31" x14ac:dyDescent="0.3">
      <c r="B4" t="s">
        <v>7</v>
      </c>
      <c r="C4">
        <v>0.70199999999999996</v>
      </c>
      <c r="D4">
        <v>-6.3630000000000006E-2</v>
      </c>
      <c r="E4">
        <v>6.1679999999999999E-2</v>
      </c>
      <c r="G4">
        <v>69.52</v>
      </c>
      <c r="H4">
        <v>-0.30349999999999999</v>
      </c>
      <c r="I4">
        <v>0.3024</v>
      </c>
      <c r="K4">
        <v>9.0939999999999997E-3</v>
      </c>
      <c r="L4">
        <v>-9.8159999999999997E-2</v>
      </c>
      <c r="M4">
        <v>0.10009999999999999</v>
      </c>
      <c r="O4">
        <v>0.61299999999999999</v>
      </c>
      <c r="P4">
        <v>2.9544900000000002E-3</v>
      </c>
      <c r="Q4">
        <v>-4.5561600000000001E-3</v>
      </c>
      <c r="R4" s="1">
        <v>7.2304300000000004E-3</v>
      </c>
      <c r="S4">
        <v>-4.5561600000000001E-3</v>
      </c>
      <c r="T4">
        <v>7.8842300000000008E-3</v>
      </c>
      <c r="U4">
        <v>-6.0962400000000002E-3</v>
      </c>
      <c r="V4">
        <v>7.2304300000000004E-3</v>
      </c>
      <c r="W4">
        <v>-6.0962400000000002E-3</v>
      </c>
      <c r="X4">
        <v>9.2966989999999999E-2</v>
      </c>
      <c r="Y4">
        <v>1.2711999999999999E-4</v>
      </c>
      <c r="Z4">
        <v>9.6521200000000001E-3</v>
      </c>
      <c r="AA4">
        <v>9.4026460000000006E-2</v>
      </c>
      <c r="AB4" s="1">
        <v>740</v>
      </c>
      <c r="AC4">
        <v>42.736237279999997</v>
      </c>
      <c r="AD4">
        <v>41.694808610000003</v>
      </c>
      <c r="AE4">
        <v>40.38563087</v>
      </c>
    </row>
    <row r="5" spans="2:31" x14ac:dyDescent="0.3">
      <c r="AB5" s="1"/>
    </row>
    <row r="6" spans="2:31" x14ac:dyDescent="0.3"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9" spans="2:31" x14ac:dyDescent="0.3">
      <c r="T9" s="1"/>
    </row>
    <row r="12" spans="2:31" x14ac:dyDescent="0.3">
      <c r="S12" s="1"/>
    </row>
    <row r="13" spans="2:31" x14ac:dyDescent="0.3">
      <c r="S13" s="1"/>
    </row>
    <row r="14" spans="2:31" x14ac:dyDescent="0.3">
      <c r="P14" s="1"/>
      <c r="Q14" s="1"/>
      <c r="R14" s="1"/>
      <c r="S14" s="1"/>
    </row>
    <row r="15" spans="2:31" x14ac:dyDescent="0.3">
      <c r="P15" s="1"/>
      <c r="Q15" s="1"/>
      <c r="R15" s="1"/>
      <c r="S15" s="1"/>
    </row>
    <row r="16" spans="2:31" x14ac:dyDescent="0.3">
      <c r="P16" s="1"/>
      <c r="Q16" s="1"/>
      <c r="R16" s="1"/>
      <c r="S16" s="1"/>
    </row>
    <row r="17" spans="16:20" x14ac:dyDescent="0.3">
      <c r="S17" s="1"/>
    </row>
    <row r="27" spans="16:20" x14ac:dyDescent="0.3">
      <c r="T27" s="1"/>
    </row>
    <row r="30" spans="16:20" x14ac:dyDescent="0.3">
      <c r="S30" s="1"/>
    </row>
    <row r="31" spans="16:20" x14ac:dyDescent="0.3">
      <c r="S31" s="1"/>
    </row>
    <row r="32" spans="16:20" x14ac:dyDescent="0.3">
      <c r="P32" s="1"/>
      <c r="Q32" s="1"/>
      <c r="R32" s="1"/>
      <c r="S32" s="1"/>
    </row>
    <row r="33" spans="16:19" x14ac:dyDescent="0.3">
      <c r="P33" s="1"/>
      <c r="Q33" s="1"/>
      <c r="R33" s="1"/>
      <c r="S33" s="1"/>
    </row>
    <row r="34" spans="16:19" x14ac:dyDescent="0.3">
      <c r="P34" s="1"/>
      <c r="Q34" s="1"/>
      <c r="R34" s="1"/>
      <c r="S34" s="1"/>
    </row>
    <row r="35" spans="16:19" x14ac:dyDescent="0.3">
      <c r="S35" s="1"/>
    </row>
  </sheetData>
  <mergeCells count="3">
    <mergeCell ref="P2:X2"/>
    <mergeCell ref="Y2:AA2"/>
    <mergeCell ref="AC2:A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69FBA-C62E-4B3C-ADA7-6F8629C0D791}">
  <dimension ref="B1:U9"/>
  <sheetViews>
    <sheetView zoomScale="79" workbookViewId="0">
      <selection activeCell="M8" sqref="M8"/>
    </sheetView>
  </sheetViews>
  <sheetFormatPr defaultRowHeight="14.4" x14ac:dyDescent="0.3"/>
  <cols>
    <col min="2" max="2" width="19.109375" customWidth="1"/>
    <col min="3" max="3" width="14.109375" customWidth="1"/>
    <col min="4" max="4" width="10.33203125" customWidth="1"/>
    <col min="5" max="5" width="10.88671875" customWidth="1"/>
    <col min="7" max="7" width="13.21875" customWidth="1"/>
    <col min="8" max="8" width="9.21875" customWidth="1"/>
    <col min="9" max="9" width="10.5546875" customWidth="1"/>
    <col min="11" max="11" width="10" customWidth="1"/>
    <col min="12" max="12" width="10.21875" customWidth="1"/>
    <col min="13" max="13" width="10.44140625" customWidth="1"/>
    <col min="16" max="16" width="9.33203125" customWidth="1"/>
    <col min="20" max="20" width="11.109375" customWidth="1"/>
  </cols>
  <sheetData>
    <row r="1" spans="2:21" x14ac:dyDescent="0.3">
      <c r="T1" s="1"/>
    </row>
    <row r="2" spans="2:21" ht="28.8" x14ac:dyDescent="0.3">
      <c r="B2" s="2" t="s">
        <v>29</v>
      </c>
      <c r="C2" t="s">
        <v>1</v>
      </c>
      <c r="D2" t="s">
        <v>30</v>
      </c>
      <c r="E2" t="s">
        <v>31</v>
      </c>
      <c r="G2" t="s">
        <v>2</v>
      </c>
      <c r="H2" t="s">
        <v>32</v>
      </c>
      <c r="I2" t="s">
        <v>33</v>
      </c>
      <c r="K2" t="s">
        <v>3</v>
      </c>
      <c r="L2" t="s">
        <v>34</v>
      </c>
      <c r="M2" t="s">
        <v>35</v>
      </c>
      <c r="O2" t="s">
        <v>4</v>
      </c>
      <c r="P2" s="3" t="s">
        <v>10</v>
      </c>
      <c r="Q2" s="3"/>
      <c r="R2" s="3"/>
      <c r="S2" t="s">
        <v>11</v>
      </c>
      <c r="T2" t="s">
        <v>19</v>
      </c>
      <c r="U2" t="s">
        <v>18</v>
      </c>
    </row>
    <row r="3" spans="2:21" x14ac:dyDescent="0.3">
      <c r="B3" t="s">
        <v>12</v>
      </c>
      <c r="C3">
        <v>0.81140000000000001</v>
      </c>
      <c r="D3">
        <v>-0.39789999999999998</v>
      </c>
      <c r="E3">
        <v>0.33689999999999998</v>
      </c>
      <c r="G3">
        <v>69.540000000000006</v>
      </c>
      <c r="H3">
        <v>-0.59960000000000002</v>
      </c>
      <c r="I3">
        <v>0.59860000000000002</v>
      </c>
      <c r="K3">
        <v>-0.31109999999999999</v>
      </c>
      <c r="L3">
        <v>-0.45700000000000002</v>
      </c>
      <c r="M3">
        <v>0.56010000000000004</v>
      </c>
      <c r="O3">
        <v>0.58499999999999996</v>
      </c>
      <c r="P3">
        <v>1.498566E-2</v>
      </c>
      <c r="Q3">
        <v>0.18909234999999999</v>
      </c>
      <c r="R3">
        <v>0.48080638999999997</v>
      </c>
      <c r="S3">
        <v>32</v>
      </c>
      <c r="T3">
        <f>(39.85510002+45.43980502+38.95142355)/3</f>
        <v>41.415442863333332</v>
      </c>
      <c r="U3">
        <v>286</v>
      </c>
    </row>
    <row r="4" spans="2:21" x14ac:dyDescent="0.3">
      <c r="B4" t="s">
        <v>13</v>
      </c>
      <c r="C4">
        <v>0.8458</v>
      </c>
      <c r="D4">
        <v>-0.26650000000000001</v>
      </c>
      <c r="E4">
        <v>0.20930000000000001</v>
      </c>
      <c r="G4">
        <v>69.53</v>
      </c>
      <c r="H4">
        <v>-0.40810000000000002</v>
      </c>
      <c r="I4">
        <v>0.39429999999999998</v>
      </c>
      <c r="K4">
        <v>-0.35110000000000002</v>
      </c>
      <c r="L4">
        <v>-0.4506</v>
      </c>
      <c r="M4">
        <v>0.57099999999999995</v>
      </c>
      <c r="O4">
        <v>0.60599999999999998</v>
      </c>
      <c r="P4">
        <v>7.5863000000000005E-4</v>
      </c>
      <c r="Q4">
        <v>0.11855607</v>
      </c>
      <c r="R4">
        <v>0.28801610999999999</v>
      </c>
      <c r="S4" s="1">
        <v>380</v>
      </c>
      <c r="T4">
        <f>(41.66354431+42.24015674+36.57114211)/3</f>
        <v>40.158281053333333</v>
      </c>
      <c r="U4">
        <v>456</v>
      </c>
    </row>
    <row r="5" spans="2:21" x14ac:dyDescent="0.3">
      <c r="B5" t="s">
        <v>14</v>
      </c>
      <c r="C5">
        <v>0.70330000000000004</v>
      </c>
      <c r="D5">
        <v>-0.1855</v>
      </c>
      <c r="E5">
        <v>0.22670000000000001</v>
      </c>
      <c r="G5">
        <v>69.599999999999994</v>
      </c>
      <c r="H5">
        <v>-0.40539999999999998</v>
      </c>
      <c r="I5">
        <v>0.4073</v>
      </c>
      <c r="K5">
        <v>3.3640000000000003E-2</v>
      </c>
      <c r="L5">
        <v>-0.42970000000000003</v>
      </c>
      <c r="M5">
        <v>0.34789999999999999</v>
      </c>
      <c r="O5">
        <v>0.63</v>
      </c>
      <c r="P5">
        <v>2.8204E-4</v>
      </c>
      <c r="Q5">
        <v>7.019765E-2</v>
      </c>
      <c r="R5">
        <v>0.26619063999999998</v>
      </c>
      <c r="S5" s="1">
        <v>940</v>
      </c>
      <c r="T5">
        <f>(39.04959972+38.97188548+36.7339374)/3</f>
        <v>38.251807533333334</v>
      </c>
      <c r="U5">
        <v>596</v>
      </c>
    </row>
    <row r="6" spans="2:21" x14ac:dyDescent="0.3">
      <c r="B6" t="s">
        <v>15</v>
      </c>
      <c r="C6">
        <v>0.67520000000000002</v>
      </c>
      <c r="D6">
        <v>-0.1628</v>
      </c>
      <c r="E6">
        <v>0.1615</v>
      </c>
      <c r="G6">
        <v>69.52</v>
      </c>
      <c r="H6">
        <v>-0.39560000000000001</v>
      </c>
      <c r="I6">
        <v>0.40289999999999998</v>
      </c>
      <c r="K6">
        <v>6.898E-2</v>
      </c>
      <c r="L6">
        <v>-0.28199999999999997</v>
      </c>
      <c r="M6">
        <v>0.28410000000000002</v>
      </c>
      <c r="O6">
        <v>0.64300000000000002</v>
      </c>
      <c r="P6" s="1">
        <v>1.8296731700000001E-4</v>
      </c>
      <c r="Q6" s="1">
        <v>4.5737395799999997E-2</v>
      </c>
      <c r="R6" s="1">
        <v>0.21480924200000001</v>
      </c>
      <c r="S6" s="1">
        <v>1200</v>
      </c>
      <c r="T6">
        <f>(33.89415722+34.02318876+33.11080822)/3</f>
        <v>33.676051399999999</v>
      </c>
      <c r="U6">
        <v>662</v>
      </c>
    </row>
    <row r="7" spans="2:21" x14ac:dyDescent="0.3">
      <c r="B7" t="s">
        <v>16</v>
      </c>
      <c r="C7">
        <v>0.76459999999999995</v>
      </c>
      <c r="D7">
        <v>-0.13189999999999999</v>
      </c>
      <c r="E7">
        <v>0.12690000000000001</v>
      </c>
      <c r="G7">
        <v>69.599999999999994</v>
      </c>
      <c r="H7">
        <v>-0.39119999999999999</v>
      </c>
      <c r="I7">
        <v>0.38679999999999998</v>
      </c>
      <c r="K7">
        <v>-0.10589999999999999</v>
      </c>
      <c r="L7">
        <v>-0.2079</v>
      </c>
      <c r="M7">
        <v>0.22</v>
      </c>
      <c r="O7">
        <v>0.64600000000000002</v>
      </c>
      <c r="P7" s="1">
        <v>1.5125781700000001E-4</v>
      </c>
      <c r="Q7" s="1">
        <v>3.2074106599999999E-2</v>
      </c>
      <c r="R7" s="1">
        <v>0.185005908</v>
      </c>
      <c r="S7" s="1">
        <v>1200</v>
      </c>
      <c r="T7">
        <f>(34.5926663+34.52007751+35.68669148)/3</f>
        <v>34.933145096666664</v>
      </c>
      <c r="U7">
        <v>697</v>
      </c>
    </row>
    <row r="8" spans="2:21" x14ac:dyDescent="0.3">
      <c r="B8" t="s">
        <v>17</v>
      </c>
      <c r="C8">
        <v>0.69740000000000002</v>
      </c>
      <c r="D8">
        <v>-0.1137</v>
      </c>
      <c r="E8">
        <v>0.1086</v>
      </c>
      <c r="G8">
        <v>69.5</v>
      </c>
      <c r="H8">
        <v>-0.37880000000000003</v>
      </c>
      <c r="I8">
        <v>0.38129999999999997</v>
      </c>
      <c r="K8">
        <v>1.452E-2</v>
      </c>
      <c r="L8">
        <v>-0.1704</v>
      </c>
      <c r="M8">
        <v>0.17879999999999999</v>
      </c>
      <c r="O8">
        <v>0.64700000000000002</v>
      </c>
      <c r="P8" s="1">
        <v>1.3325364400000001E-4</v>
      </c>
      <c r="Q8" s="1">
        <v>2.3152339899999999E-2</v>
      </c>
      <c r="R8" s="1">
        <v>0.167095786</v>
      </c>
      <c r="S8" s="1">
        <v>1300</v>
      </c>
      <c r="T8">
        <f>(35.97857163+35.61775522+34.60117308)/3</f>
        <v>35.399166643333331</v>
      </c>
      <c r="U8">
        <v>714</v>
      </c>
    </row>
    <row r="9" spans="2:21" x14ac:dyDescent="0.3">
      <c r="S9" s="1"/>
    </row>
  </sheetData>
  <mergeCells count="1">
    <mergeCell ref="P2:R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34EA0-9DA7-4B8C-86CC-08BF219EFD2A}">
  <dimension ref="B2:O5"/>
  <sheetViews>
    <sheetView zoomScale="87" workbookViewId="0">
      <selection activeCell="K9" sqref="K9"/>
    </sheetView>
  </sheetViews>
  <sheetFormatPr defaultRowHeight="14.4" x14ac:dyDescent="0.3"/>
  <cols>
    <col min="2" max="2" width="19.109375" customWidth="1"/>
    <col min="3" max="3" width="14.109375" customWidth="1"/>
    <col min="4" max="4" width="10.33203125" customWidth="1"/>
    <col min="5" max="5" width="10.88671875" customWidth="1"/>
    <col min="7" max="7" width="13.21875" customWidth="1"/>
    <col min="8" max="8" width="9.21875" customWidth="1"/>
    <col min="9" max="9" width="10.5546875" customWidth="1"/>
    <col min="11" max="11" width="10" customWidth="1"/>
    <col min="12" max="12" width="10.21875" customWidth="1"/>
    <col min="13" max="13" width="10.44140625" customWidth="1"/>
    <col min="16" max="16" width="9.33203125" customWidth="1"/>
    <col min="20" max="20" width="11.109375" customWidth="1"/>
  </cols>
  <sheetData>
    <row r="2" spans="2:15" x14ac:dyDescent="0.3">
      <c r="B2" t="s">
        <v>21</v>
      </c>
      <c r="C2" t="s">
        <v>1</v>
      </c>
      <c r="D2" t="s">
        <v>30</v>
      </c>
      <c r="E2" t="s">
        <v>31</v>
      </c>
      <c r="G2" t="s">
        <v>2</v>
      </c>
      <c r="H2" t="s">
        <v>32</v>
      </c>
      <c r="I2" t="s">
        <v>33</v>
      </c>
      <c r="K2" t="s">
        <v>3</v>
      </c>
      <c r="L2" t="s">
        <v>34</v>
      </c>
      <c r="M2" t="s">
        <v>35</v>
      </c>
      <c r="O2" t="s">
        <v>25</v>
      </c>
    </row>
    <row r="3" spans="2:15" x14ac:dyDescent="0.3">
      <c r="B3" t="s">
        <v>22</v>
      </c>
      <c r="C3">
        <v>0.7278</v>
      </c>
      <c r="D3">
        <v>-1.2999999999999999E-2</v>
      </c>
      <c r="E3">
        <v>1.2999999999999999E-2</v>
      </c>
      <c r="G3">
        <v>70</v>
      </c>
      <c r="H3">
        <v>0</v>
      </c>
      <c r="I3">
        <v>0</v>
      </c>
      <c r="K3">
        <v>0</v>
      </c>
      <c r="L3">
        <v>0</v>
      </c>
      <c r="M3">
        <v>0</v>
      </c>
      <c r="O3">
        <v>1.7168000000000001</v>
      </c>
    </row>
    <row r="4" spans="2:15" x14ac:dyDescent="0.3">
      <c r="B4" t="s">
        <v>23</v>
      </c>
      <c r="C4">
        <v>0.70809999999999995</v>
      </c>
      <c r="D4">
        <v>-0.02</v>
      </c>
      <c r="E4">
        <v>1.9E-2</v>
      </c>
      <c r="G4">
        <v>69.540000000000006</v>
      </c>
      <c r="H4">
        <v>-0.30599999999999999</v>
      </c>
      <c r="I4">
        <v>0.30599999999999999</v>
      </c>
      <c r="K4">
        <v>0</v>
      </c>
      <c r="L4">
        <v>0</v>
      </c>
      <c r="M4">
        <v>0</v>
      </c>
      <c r="O4">
        <v>1.716</v>
      </c>
    </row>
    <row r="5" spans="2:15" x14ac:dyDescent="0.3">
      <c r="B5" t="s">
        <v>24</v>
      </c>
      <c r="C5">
        <v>0.70809999999999995</v>
      </c>
      <c r="D5">
        <v>-0.11899999999999999</v>
      </c>
      <c r="E5">
        <v>0.105</v>
      </c>
      <c r="G5">
        <v>69.540000000000006</v>
      </c>
      <c r="H5">
        <v>-0.377</v>
      </c>
      <c r="I5">
        <v>0.35899999999999999</v>
      </c>
      <c r="K5">
        <v>1.193E-4</v>
      </c>
      <c r="L5">
        <v>-0.16600000000000001</v>
      </c>
      <c r="M5">
        <v>0.189</v>
      </c>
      <c r="O5">
        <v>1.7183999999999999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92532b4-f879-4fe1-8d04-1598af4c66d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9779CE51381A47A2D563D620AB4F4F" ma:contentTypeVersion="14" ma:contentTypeDescription="Create a new document." ma:contentTypeScope="" ma:versionID="9836cfbd5bda03dcca4367e592b7d388">
  <xsd:schema xmlns:xsd="http://www.w3.org/2001/XMLSchema" xmlns:xs="http://www.w3.org/2001/XMLSchema" xmlns:p="http://schemas.microsoft.com/office/2006/metadata/properties" xmlns:ns3="a92532b4-f879-4fe1-8d04-1598af4c66df" xmlns:ns4="0e2b3051-a01b-4d08-a066-d3d830b6acb3" targetNamespace="http://schemas.microsoft.com/office/2006/metadata/properties" ma:root="true" ma:fieldsID="f55fd03ad874785ffaac62a1a7ac6935" ns3:_="" ns4:_="">
    <xsd:import namespace="a92532b4-f879-4fe1-8d04-1598af4c66df"/>
    <xsd:import namespace="0e2b3051-a01b-4d08-a066-d3d830b6acb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2532b4-f879-4fe1-8d04-1598af4c66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2b3051-a01b-4d08-a066-d3d830b6acb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0C4C1D-6D9B-45A9-A99E-05EE4DC1E7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BE6D36-C8FF-4779-812D-8A5C120E9773}">
  <ds:schemaRefs>
    <ds:schemaRef ds:uri="http://schemas.microsoft.com/office/2006/documentManagement/types"/>
    <ds:schemaRef ds:uri="http://purl.org/dc/elements/1.1/"/>
    <ds:schemaRef ds:uri="http://purl.org/dc/dcmitype/"/>
    <ds:schemaRef ds:uri="http://www.w3.org/XML/1998/namespace"/>
    <ds:schemaRef ds:uri="a92532b4-f879-4fe1-8d04-1598af4c66df"/>
    <ds:schemaRef ds:uri="http://schemas.openxmlformats.org/package/2006/metadata/core-properties"/>
    <ds:schemaRef ds:uri="0e2b3051-a01b-4d08-a066-d3d830b6acb3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38A1C85-A60A-4083-A756-69973943C6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2532b4-f879-4fe1-8d04-1598af4c66df"/>
    <ds:schemaRef ds:uri="0e2b3051-a01b-4d08-a066-d3d830b6ac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1D</vt:lpstr>
      <vt:lpstr>2D</vt:lpstr>
      <vt:lpstr>3D</vt:lpstr>
      <vt:lpstr>Various zs</vt:lpstr>
      <vt:lpstr>chi2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FOLKES-MILLER, SIENNA P. (Student)</dc:creator>
  <cp:lastModifiedBy>FOLKES-MILLER, SIENNA P. (Student)</cp:lastModifiedBy>
  <dcterms:created xsi:type="dcterms:W3CDTF">2026-02-08T16:39:37Z</dcterms:created>
  <dcterms:modified xsi:type="dcterms:W3CDTF">2026-02-14T12:59:58Z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0x010100C39779CE51381A47A2D563D620AB4F4F</vt:lpwstr>
  </property>
</Properties>
</file>